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er_table" sheetId="1" r:id="rId5"/>
    <sheet state="visible" name="Sheet1" sheetId="2" r:id="rId6"/>
    <sheet state="visible" name="Sheet2" sheetId="3" r:id="rId7"/>
  </sheets>
  <definedNames>
    <definedName hidden="1" localSheetId="2" name="_xlnm._FilterDatabase">Sheet2!$A$4:$F$41</definedName>
  </definedNames>
  <calcPr/>
</workbook>
</file>

<file path=xl/sharedStrings.xml><?xml version="1.0" encoding="utf-8"?>
<sst xmlns="http://schemas.openxmlformats.org/spreadsheetml/2006/main" count="317" uniqueCount="158">
  <si>
    <t>SubComponent</t>
  </si>
  <si>
    <t>Links for Reports</t>
  </si>
  <si>
    <t>Manufacturer</t>
  </si>
  <si>
    <t xml:space="preserve">Ecu </t>
  </si>
  <si>
    <t>Reference</t>
  </si>
  <si>
    <t>BMS</t>
  </si>
  <si>
    <t>Bibliography</t>
  </si>
  <si>
    <t>Texas Instruments</t>
  </si>
  <si>
    <t>MTBF</t>
  </si>
  <si>
    <t>Analog Devices</t>
  </si>
  <si>
    <t>FIT</t>
  </si>
  <si>
    <t>NPX</t>
  </si>
  <si>
    <t>Find the average price for each component from everty company</t>
  </si>
  <si>
    <t>Infineon</t>
  </si>
  <si>
    <t>Usage temp (C)</t>
  </si>
  <si>
    <t>STMicroelectrionics</t>
  </si>
  <si>
    <t>Conf level (%)</t>
  </si>
  <si>
    <t>Rensas</t>
  </si>
  <si>
    <t>Activation energy (eV)</t>
  </si>
  <si>
    <t>Digital Insulator</t>
  </si>
  <si>
    <t>Test temp (C)</t>
  </si>
  <si>
    <t>Test duration (hours)</t>
  </si>
  <si>
    <t>Component category</t>
  </si>
  <si>
    <t>Sample size</t>
  </si>
  <si>
    <t>Toshiba</t>
  </si>
  <si>
    <t>Fails</t>
  </si>
  <si>
    <t>NOVOSENSE</t>
  </si>
  <si>
    <t>HTOL sample size</t>
  </si>
  <si>
    <t>SKYWORKS</t>
  </si>
  <si>
    <t>Mission time (hours)</t>
  </si>
  <si>
    <t>Temperature sensor</t>
  </si>
  <si>
    <t>Thermal acceleration factor AF</t>
  </si>
  <si>
    <t>ECU C2000 microcontroller</t>
  </si>
  <si>
    <t>F280049CPZQR</t>
  </si>
  <si>
    <t>Product / part number</t>
  </si>
  <si>
    <t>Unit price (USD)</t>
  </si>
  <si>
    <t>Retailer</t>
  </si>
  <si>
    <t>Product price link</t>
  </si>
  <si>
    <t>F280039CPZRQ1</t>
  </si>
  <si>
    <t>BMS monitor</t>
  </si>
  <si>
    <t>F280025PNQR</t>
  </si>
  <si>
    <t>BQ79656PAPRQ1</t>
  </si>
  <si>
    <t>Mouser</t>
  </si>
  <si>
    <t>F2800157QPMQ1</t>
  </si>
  <si>
    <t>https://www.mouser.com/en/ProductDetail/Texas-Instruments/BQ79656PAPRQ1?qs=ljCeji4nMDlctH1rPHwGgA%3D%3D</t>
  </si>
  <si>
    <t>Battery BMS AFE</t>
  </si>
  <si>
    <t>Battery digital isolator</t>
  </si>
  <si>
    <t>ISO7741QDWRQ1</t>
  </si>
  <si>
    <t>Battery temperature sensor</t>
  </si>
  <si>
    <t>TMP4719QDGSRQ1</t>
  </si>
  <si>
    <t>Power gate driver</t>
  </si>
  <si>
    <t>UCC21750QDWRQ1</t>
  </si>
  <si>
    <t>Power current sensor</t>
  </si>
  <si>
    <t>Microchip</t>
  </si>
  <si>
    <t>Onsemi</t>
  </si>
  <si>
    <t>TMCS1101A4UQDRQ1</t>
  </si>
  <si>
    <t>STMicroelectrics</t>
  </si>
  <si>
    <t>Gate driver</t>
  </si>
  <si>
    <t>ECU RH850 microcontroller</t>
  </si>
  <si>
    <t>STMMicroelectonics</t>
  </si>
  <si>
    <t>Renesas Electronics</t>
  </si>
  <si>
    <t>Analog Devicess</t>
  </si>
  <si>
    <t>R7F7010183AFP-C</t>
  </si>
  <si>
    <t>ROHm</t>
  </si>
  <si>
    <t>Current Sensor</t>
  </si>
  <si>
    <t>Melexis</t>
  </si>
  <si>
    <t>Allegro Microsystems</t>
  </si>
  <si>
    <t>LEM</t>
  </si>
  <si>
    <t>Novosense</t>
  </si>
  <si>
    <t xml:space="preserve">Manufacturers </t>
  </si>
  <si>
    <t>R7F7010243AFP-C</t>
  </si>
  <si>
    <t>R7F7010253AFD</t>
  </si>
  <si>
    <t>R7F7016233AFP-C</t>
  </si>
  <si>
    <t>R7F7016903AFP-C</t>
  </si>
  <si>
    <t>ECUs microcontroller</t>
  </si>
  <si>
    <t>161x10^8</t>
  </si>
  <si>
    <t>Cant find</t>
  </si>
  <si>
    <t>Onsemi.</t>
  </si>
  <si>
    <t>cant find</t>
  </si>
  <si>
    <t>LTC6811HG-1#3ZZTRPBF</t>
  </si>
  <si>
    <t>https://www.mouser.com/en/c/semiconductors/integrated-circuits-ics/power-management-ics/?series=LTC6811</t>
  </si>
  <si>
    <t>NXP</t>
  </si>
  <si>
    <t>MC33771CTA1AE</t>
  </si>
  <si>
    <t>https://www.mouser.com/en/c/?series=MC33771C</t>
  </si>
  <si>
    <t>TLE9012DQUXUMA1</t>
  </si>
  <si>
    <t>https://www.mouser.com/en/c/semiconductors/integrated-circuits-ics/power-management-ics/battery-management/?m=Infineon</t>
  </si>
  <si>
    <t>STMicroelectronics</t>
  </si>
  <si>
    <t>L9963E-TR</t>
  </si>
  <si>
    <t>https://www.mouser.com/en/c/semiconductors/power-management-ics/?series=L9963E</t>
  </si>
  <si>
    <t>Battery Management System</t>
  </si>
  <si>
    <t>LTC6811-1</t>
  </si>
  <si>
    <t xml:space="preserve">Rensas </t>
  </si>
  <si>
    <t>ISL78714ANZ-T</t>
  </si>
  <si>
    <t>Digital Isolator</t>
  </si>
  <si>
    <t>ADUM141E</t>
  </si>
  <si>
    <t>Temperature Sensor</t>
  </si>
  <si>
    <t>MAX31730</t>
  </si>
  <si>
    <t>Renesas</t>
  </si>
  <si>
    <t>https://www.mouser.com/en/ProductDetail/Renesas-Intersil/ISL78714ANZ-T?qs=B6kkDfuK7%2FAs3WZb5fEINg%3D%3D</t>
  </si>
  <si>
    <t>..</t>
  </si>
  <si>
    <t>Gate Driver</t>
  </si>
  <si>
    <t>Digital isolator</t>
  </si>
  <si>
    <t>ASUM4135</t>
  </si>
  <si>
    <t>https://www.mouser.com/ProductDetail/Texas-Instruments/ISO7741QDWRQ1?qs=34RfhUjJmKdiyQ9qp4sakQ%3D%3D</t>
  </si>
  <si>
    <t>ADUM141E0BRQZ-RL7</t>
  </si>
  <si>
    <t>https://www.mouser.com/c/semiconductors/interface-ics/digital-isolators/?data+rate=150+Mb%2Fs&amp;series=ADUM141ES</t>
  </si>
  <si>
    <t>4DIR1400HAXUMA1</t>
  </si>
  <si>
    <t>https://www.mouser.com/ProductDetail/Infineon-Technologies/4DIR1400HAXUMA1?qs=1Kr7Jg1SGW9eZL%2FIlGTkuQ%3D%3D</t>
  </si>
  <si>
    <t>DCM341L01(AS,EL)</t>
  </si>
  <si>
    <t>https://www.mouser.com/en/ProductDetail/Toshiba/DCM341L01ASEL?qs=efUn273yAhdtvkdjAgSXvw%3D%3D</t>
  </si>
  <si>
    <t>NSI8241W0-Q1SWR</t>
  </si>
  <si>
    <t>DigiKey</t>
  </si>
  <si>
    <t>https://www.digikey.com/en/products/detail/novosense/NSI8241W0-Q1SWR/22188674</t>
  </si>
  <si>
    <t>Skyworks</t>
  </si>
  <si>
    <t>SI8641BB-B-IS1</t>
  </si>
  <si>
    <t>Partstack</t>
  </si>
  <si>
    <t>https://partstack.com/p/skyworks-solutions/si8641bb-b-is1/4037595040</t>
  </si>
  <si>
    <t>Distributor index</t>
  </si>
  <si>
    <t>https://www.ti.com/product/TMP4719-Q1</t>
  </si>
  <si>
    <t>MCP9983T-AE/E3</t>
  </si>
  <si>
    <t>https://www.mouser.com/ProductDetail/Microchip-Technology/MCP9983T-AE-E3?qs=HoCaDK9Nz5dj8YWo%2FOYBmQ%3D%3D</t>
  </si>
  <si>
    <t>MAX31730ATC+T</t>
  </si>
  <si>
    <t>https://www.analog.com/en/products/max31730.html</t>
  </si>
  <si>
    <t>onsemi</t>
  </si>
  <si>
    <t>NCT214MT3R2G</t>
  </si>
  <si>
    <t>https://www.digikey.com/en/products/detail/onsemi/NCT214MT3R2G/2626642</t>
  </si>
  <si>
    <t>SA56004ED,118</t>
  </si>
  <si>
    <t>Newark</t>
  </si>
  <si>
    <t>https://www.newark.com/nxp/sa56004ed-118/temperature-sensor-1deg-c-soic/dp/61AC1839</t>
  </si>
  <si>
    <t>STTS22HTR</t>
  </si>
  <si>
    <t>https://www.st.com/en/mems-and-sensors/stts22h.html</t>
  </si>
  <si>
    <t>https://www.mouser.com/en/ProductDetail/Texas-Instruments/UCC21750QDWRQ1?qs=BJlw7L4Cy7%2FADnnEzoLd5w%3D%3D</t>
  </si>
  <si>
    <t>1EDI3033ASXUMA1</t>
  </si>
  <si>
    <t>https://www.mouser.com/en/c/?package+%2F+case=DSO-20</t>
  </si>
  <si>
    <t>STGAP2SICS</t>
  </si>
  <si>
    <t>https://www.mouser.com/en/ProductDetail/STMicroelectronics/STGAP2SICS?qs=DPoM0jnrROUXyVL698kG%252BA%3D%3D</t>
  </si>
  <si>
    <t>ADUM4135WBRWZ</t>
  </si>
  <si>
    <t>https://www.digikey.com/en/products/detail/analog-devices-inc/ADUM4135WBRWZ/16651498</t>
  </si>
  <si>
    <t>NCV57001DWR2G</t>
  </si>
  <si>
    <t>https://www.mouser.com/en/ProductDetail/onsemi/NCV57001DWR2G?qs=vLWxofP3U2wQlHAl1TxBRg%3D%3D</t>
  </si>
  <si>
    <t>ROHM</t>
  </si>
  <si>
    <t>BM6112FV-CE2</t>
  </si>
  <si>
    <t>https://www.mouser.com/ProductDetail/ROHM-Semiconductor/BM6112FV-CE2?qs=XAiT9M5g4x9KQSegM4Q3wQ%3D%3D</t>
  </si>
  <si>
    <t>ECU / MCU</t>
  </si>
  <si>
    <t>https://www.digikey.com/en/products/detail/texas-instruments/F2800157QPMQ1/22077484</t>
  </si>
  <si>
    <t>R7F7016843AFP-C#BA1</t>
  </si>
  <si>
    <t>https://www.mouser.com/en/ProductDetail/Renesas-Electronics/R7F7016843AFP-CBA1?qs=W%2FMpXkg%252BdQ60QLQUjBCWvw%3D%3D</t>
  </si>
  <si>
    <t>S32K344NHT1MPBST</t>
  </si>
  <si>
    <t>https://www.digikey.com/en/products/detail/nxp-usa-inc/S32K344NHT1MPBST/18711540</t>
  </si>
  <si>
    <t>TC233LP32F200NACKXUMA1</t>
  </si>
  <si>
    <t>https://www.mouser.com/ProductDetail/Infineon-Technologies/TC233LP32F200NACKXUMA1?qs=QIiuLP2W41D8UVmfUbZ85A%3D%3D</t>
  </si>
  <si>
    <t>SPC58EC80E7QMC1X</t>
  </si>
  <si>
    <t>https://www.mouser.com/ProductDetail/STMicroelectronics/SPC58EC80E7QMC1X?qs=Znm5pLBrcAIfYwGJL6VcdQ%3D%3D</t>
  </si>
  <si>
    <t>dsPIC33CK256MP508-E/PT</t>
  </si>
  <si>
    <t>https://www.mouser.com/en/ProductDetail/Microchip-Technology/dsPIC33CK256MP508-E-PT?qs=y6ZabgHbY%252By9SI5TpS8Uaw%3D%3D</t>
  </si>
  <si>
    <t>AVG Prices per product</t>
  </si>
  <si>
    <t>Current sensor</t>
  </si>
  <si>
    <t>ECU/MCU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</si>
</sst>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rgb="FF163546"/>
      <name val="Carlito"/>
    </font>
    <font>
      <sz val="11.0"/>
      <color rgb="FF000000"/>
      <name val="Carlito"/>
    </font>
    <font>
      <b/>
      <color theme="1"/>
      <name val="Arial"/>
      <scheme val="minor"/>
    </font>
    <font>
      <u/>
      <color rgb="FF0000FF"/>
    </font>
    <font>
      <u/>
      <sz val="11.0"/>
      <color rgb="FF146CAA"/>
      <name val="Carlito"/>
    </font>
    <font>
      <sz val="11.0"/>
      <color rgb="FF101820"/>
      <name val="Inter"/>
    </font>
    <font>
      <sz val="11.0"/>
      <color rgb="FF333333"/>
      <name val="Helvetica"/>
    </font>
    <font>
      <u/>
      <sz val="11.0"/>
      <color rgb="FF146CAA"/>
      <name val="Carlito"/>
    </font>
    <font>
      <u/>
      <sz val="11.0"/>
      <color rgb="FF1768AE"/>
      <name val="Carlito"/>
    </font>
    <font>
      <u/>
      <sz val="11.0"/>
      <color rgb="FF1768AE"/>
      <name val="Carlito"/>
    </font>
    <font>
      <b/>
      <sz val="11.0"/>
      <color rgb="FF000000"/>
      <name val="Carlito"/>
    </font>
  </fonts>
  <fills count="10">
    <fill>
      <patternFill patternType="none"/>
    </fill>
    <fill>
      <patternFill patternType="lightGray"/>
    </fill>
    <fill>
      <patternFill patternType="solid">
        <fgColor rgb="FFDCE8EC"/>
        <bgColor rgb="FFDCE8EC"/>
      </patternFill>
    </fill>
    <fill>
      <patternFill patternType="solid">
        <fgColor rgb="FFFCE5CD"/>
        <bgColor rgb="FFFCE5CD"/>
      </patternFill>
    </fill>
    <fill>
      <patternFill patternType="solid">
        <fgColor rgb="FFF4F8FA"/>
        <bgColor rgb="FFF4F8FA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F2F7F9"/>
        <bgColor rgb="FFF2F7F9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3" fontId="1" numFmtId="0" xfId="0" applyFill="1" applyFont="1"/>
    <xf borderId="0" fillId="3" fontId="1" numFmtId="164" xfId="0" applyFill="1" applyFont="1" applyNumberFormat="1"/>
    <xf borderId="0" fillId="0" fontId="1" numFmtId="1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4" fontId="6" numFmtId="0" xfId="0" applyAlignment="1" applyFill="1" applyFont="1">
      <alignment horizontal="lef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horizontal="right" readingOrder="0" shrinkToFit="0" wrapText="0"/>
    </xf>
    <xf borderId="0" fillId="0" fontId="8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5" fontId="1" numFmtId="0" xfId="0" applyFill="1" applyFont="1"/>
    <xf borderId="0" fillId="5" fontId="1" numFmtId="164" xfId="0" applyFill="1" applyFont="1" applyNumberFormat="1"/>
    <xf borderId="0" fillId="6" fontId="9" numFmtId="0" xfId="0" applyAlignment="1" applyFill="1" applyFont="1">
      <alignment horizontal="left" readingOrder="0" shrinkToFit="0" vertical="bottom" wrapText="0"/>
    </xf>
    <xf borderId="0" fillId="7" fontId="1" numFmtId="0" xfId="0" applyFill="1" applyFont="1"/>
    <xf borderId="0" fillId="7" fontId="1" numFmtId="164" xfId="0" applyFill="1" applyFont="1" applyNumberFormat="1"/>
    <xf borderId="0" fillId="8" fontId="1" numFmtId="0" xfId="0" applyFill="1" applyFont="1"/>
    <xf borderId="0" fillId="8" fontId="1" numFmtId="164" xfId="0" applyFill="1" applyFont="1" applyNumberFormat="1"/>
    <xf borderId="0" fillId="0" fontId="1" numFmtId="0" xfId="0" applyFont="1"/>
    <xf borderId="0" fillId="0" fontId="1" numFmtId="164" xfId="0" applyFont="1" applyNumberFormat="1"/>
    <xf borderId="0" fillId="0" fontId="10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9" fontId="12" numFmtId="164" xfId="0" applyAlignment="1" applyFill="1" applyFont="1" applyNumberFormat="1">
      <alignment readingOrder="0" shrinkToFit="0" vertical="bottom" wrapText="0"/>
    </xf>
    <xf borderId="0" fillId="0" fontId="12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.com/quality/docs/estimator.tsp" TargetMode="External"/><Relationship Id="rId2" Type="http://schemas.openxmlformats.org/officeDocument/2006/relationships/hyperlink" Target="https://www.renesas.com/en/support/quality-reliability/reliability-report-search" TargetMode="External"/><Relationship Id="rId3" Type="http://schemas.openxmlformats.org/officeDocument/2006/relationships/hyperlink" Target="https://www.ti.com/quality/docs/estimator.tsp?opn=BQ79656PAPRQ1&amp;cpn=&amp;partNumber=BQ79656PAPRQ1" TargetMode="External"/><Relationship Id="rId4" Type="http://schemas.openxmlformats.org/officeDocument/2006/relationships/hyperlink" Target="https://www.analog.com/en/support/quality-and-reliability/reliability/wafer-fabrication-data.html" TargetMode="External"/><Relationship Id="rId5" Type="http://schemas.openxmlformats.org/officeDocument/2006/relationships/hyperlink" Target="https://www.renesas.com/en/support/quality-reliability/reliability-report-search?utm_source=chatgpt.com" TargetMode="External"/><Relationship Id="rId6" Type="http://schemas.openxmlformats.org/officeDocument/2006/relationships/hyperlink" Target="https://www.analog.com/en/support/quality-and-reliability/reliability/wafer-fabrication-data.html" TargetMode="External"/><Relationship Id="rId7" Type="http://schemas.openxmlformats.org/officeDocument/2006/relationships/hyperlink" Target="https://www.analog.com/media/en/technical-documentation/reliability-data/max31730.pdf?utm_source=chatgpt.com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.com/quality/docs/estimator.tsp" TargetMode="External"/><Relationship Id="rId2" Type="http://schemas.openxmlformats.org/officeDocument/2006/relationships/hyperlink" Target="https://www.analog.com/en/support/quality-and-reliability/reliability/wafer-fabrication-data.html" TargetMode="External"/><Relationship Id="rId3" Type="http://schemas.openxmlformats.org/officeDocument/2006/relationships/hyperlink" Target="https://www.infineon.com/quality/product-information-finder/quality-fit-report-and-packaging-finder" TargetMode="External"/><Relationship Id="rId4" Type="http://schemas.openxmlformats.org/officeDocument/2006/relationships/hyperlink" Target="https://www.renesas.com/en/support/quality-reliability/reliability-report-search?queryID=70b67f3959ab1bcf0a8d16ffc1cee508" TargetMode="External"/><Relationship Id="rId5" Type="http://schemas.openxmlformats.org/officeDocument/2006/relationships/hyperlink" Target="https://www.microchip.com/reliabilityreport/" TargetMode="External"/><Relationship Id="rId6" Type="http://schemas.openxmlformats.org/officeDocument/2006/relationships/hyperlink" Target="https://www.onsemi.com/PowerSolutions/reliability.do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ouser.com/en/c/?package+%2F+case=DSO-20" TargetMode="External"/><Relationship Id="rId22" Type="http://schemas.openxmlformats.org/officeDocument/2006/relationships/hyperlink" Target="https://www.digikey.com/en/products/detail/analog-devices-inc/ADUM4135WBRWZ/16651498" TargetMode="External"/><Relationship Id="rId21" Type="http://schemas.openxmlformats.org/officeDocument/2006/relationships/hyperlink" Target="https://www.mouser.com/en/ProductDetail/STMicroelectronics/STGAP2SICS?qs=DPoM0jnrROUXyVL698kG%252BA%3D%3D" TargetMode="External"/><Relationship Id="rId24" Type="http://schemas.openxmlformats.org/officeDocument/2006/relationships/hyperlink" Target="https://www.mouser.com/ProductDetail/ROHM-Semiconductor/BM6112FV-CE2?qs=XAiT9M5g4x9KQSegM4Q3wQ%3D%3D" TargetMode="External"/><Relationship Id="rId23" Type="http://schemas.openxmlformats.org/officeDocument/2006/relationships/hyperlink" Target="https://www.mouser.com/en/ProductDetail/onsemi/NCV57001DWR2G?qs=vLWxofP3U2wQlHAl1TxBRg%3D%3D" TargetMode="External"/><Relationship Id="rId1" Type="http://schemas.openxmlformats.org/officeDocument/2006/relationships/hyperlink" Target="https://www.mouser.com/en/ProductDetail/Texas-Instruments/BQ79656PAPRQ1?qs=ljCeji4nMDlctH1rPHwGgA%3D%3D" TargetMode="External"/><Relationship Id="rId2" Type="http://schemas.openxmlformats.org/officeDocument/2006/relationships/hyperlink" Target="https://www.mouser.com/en/c/semiconductors/integrated-circuits-ics/power-management-ics/?series=LTC6811" TargetMode="External"/><Relationship Id="rId3" Type="http://schemas.openxmlformats.org/officeDocument/2006/relationships/hyperlink" Target="https://www.mouser.com/en/c/?series=MC33771C" TargetMode="External"/><Relationship Id="rId4" Type="http://schemas.openxmlformats.org/officeDocument/2006/relationships/hyperlink" Target="https://www.mouser.com/en/c/semiconductors/integrated-circuits-ics/power-management-ics/battery-management/?m=Infineon" TargetMode="External"/><Relationship Id="rId9" Type="http://schemas.openxmlformats.org/officeDocument/2006/relationships/hyperlink" Target="https://www.mouser.com/ProductDetail/Infineon-Technologies/4DIR1400HAXUMA1?qs=1Kr7Jg1SGW9eZL%2FIlGTkuQ%3D%3D" TargetMode="External"/><Relationship Id="rId26" Type="http://schemas.openxmlformats.org/officeDocument/2006/relationships/hyperlink" Target="https://www.mouser.com/en/ProductDetail/Renesas-Electronics/R7F7016843AFP-CBA1?qs=W%2FMpXkg%252BdQ60QLQUjBCWvw%3D%3D" TargetMode="External"/><Relationship Id="rId25" Type="http://schemas.openxmlformats.org/officeDocument/2006/relationships/hyperlink" Target="https://www.digikey.com/en/products/detail/texas-instruments/F2800157QPMQ1/22077484" TargetMode="External"/><Relationship Id="rId28" Type="http://schemas.openxmlformats.org/officeDocument/2006/relationships/hyperlink" Target="https://www.mouser.com/ProductDetail/Infineon-Technologies/TC233LP32F200NACKXUMA1?qs=QIiuLP2W41D8UVmfUbZ85A%3D%3D" TargetMode="External"/><Relationship Id="rId27" Type="http://schemas.openxmlformats.org/officeDocument/2006/relationships/hyperlink" Target="https://www.digikey.com/en/products/detail/nxp-usa-inc/S32K344NHT1MPBST/18711540" TargetMode="External"/><Relationship Id="rId5" Type="http://schemas.openxmlformats.org/officeDocument/2006/relationships/hyperlink" Target="https://www.mouser.com/en/c/semiconductors/power-management-ics/?series=L9963E" TargetMode="External"/><Relationship Id="rId6" Type="http://schemas.openxmlformats.org/officeDocument/2006/relationships/hyperlink" Target="https://www.mouser.com/en/ProductDetail/Renesas-Intersil/ISL78714ANZ-T?qs=B6kkDfuK7%2FAs3WZb5fEINg%3D%3D" TargetMode="External"/><Relationship Id="rId29" Type="http://schemas.openxmlformats.org/officeDocument/2006/relationships/hyperlink" Target="https://www.mouser.com/ProductDetail/STMicroelectronics/SPC58EC80E7QMC1X?qs=Znm5pLBrcAIfYwGJL6VcdQ%3D%3D" TargetMode="External"/><Relationship Id="rId7" Type="http://schemas.openxmlformats.org/officeDocument/2006/relationships/hyperlink" Target="https://www.mouser.com/ProductDetail/Texas-Instruments/ISO7741QDWRQ1?qs=34RfhUjJmKdiyQ9qp4sakQ%3D%3D" TargetMode="External"/><Relationship Id="rId8" Type="http://schemas.openxmlformats.org/officeDocument/2006/relationships/hyperlink" Target="https://www.mouser.com/c/semiconductors/interface-ics/digital-isolators/?data+rate=150+Mb%2Fs&amp;series=ADUM141ES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www.mouser.com/en/ProductDetail/Microchip-Technology/dsPIC33CK256MP508-E-PT?qs=y6ZabgHbY%252By9SI5TpS8Uaw%3D%3D" TargetMode="External"/><Relationship Id="rId11" Type="http://schemas.openxmlformats.org/officeDocument/2006/relationships/hyperlink" Target="https://www.digikey.com/en/products/detail/novosense/NSI8241W0-Q1SWR/22188674" TargetMode="External"/><Relationship Id="rId10" Type="http://schemas.openxmlformats.org/officeDocument/2006/relationships/hyperlink" Target="https://www.mouser.com/en/ProductDetail/Toshiba/DCM341L01ASEL?qs=efUn273yAhdtvkdjAgSXvw%3D%3D" TargetMode="External"/><Relationship Id="rId13" Type="http://schemas.openxmlformats.org/officeDocument/2006/relationships/hyperlink" Target="https://www.ti.com/product/TMP4719-Q1" TargetMode="External"/><Relationship Id="rId12" Type="http://schemas.openxmlformats.org/officeDocument/2006/relationships/hyperlink" Target="https://partstack.com/p/skyworks-solutions/si8641bb-b-is1/4037595040" TargetMode="External"/><Relationship Id="rId15" Type="http://schemas.openxmlformats.org/officeDocument/2006/relationships/hyperlink" Target="https://www.analog.com/en/products/max31730.html" TargetMode="External"/><Relationship Id="rId14" Type="http://schemas.openxmlformats.org/officeDocument/2006/relationships/hyperlink" Target="https://www.mouser.com/ProductDetail/Microchip-Technology/MCP9983T-AE-E3?qs=HoCaDK9Nz5dj8YWo%2FOYBmQ%3D%3D" TargetMode="External"/><Relationship Id="rId17" Type="http://schemas.openxmlformats.org/officeDocument/2006/relationships/hyperlink" Target="https://www.newark.com/nxp/sa56004ed-118/temperature-sensor-1deg-c-soic/dp/61AC1839" TargetMode="External"/><Relationship Id="rId16" Type="http://schemas.openxmlformats.org/officeDocument/2006/relationships/hyperlink" Target="https://www.digikey.com/en/products/detail/onsemi/NCT214MT3R2G/2626642" TargetMode="External"/><Relationship Id="rId19" Type="http://schemas.openxmlformats.org/officeDocument/2006/relationships/hyperlink" Target="https://www.mouser.com/en/ProductDetail/Texas-Instruments/UCC21750QDWRQ1?qs=BJlw7L4Cy7%2FADnnEzoLd5w%3D%3D" TargetMode="External"/><Relationship Id="rId18" Type="http://schemas.openxmlformats.org/officeDocument/2006/relationships/hyperlink" Target="https://www.st.com/en/mems-and-sensors/stts22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8.25"/>
    <col customWidth="1" min="3" max="3" width="17.5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21</v>
      </c>
      <c r="L1" s="1" t="s">
        <v>23</v>
      </c>
      <c r="M1" s="1" t="s">
        <v>25</v>
      </c>
      <c r="N1" s="1" t="s">
        <v>27</v>
      </c>
      <c r="O1" s="1" t="s">
        <v>29</v>
      </c>
      <c r="P1" s="1" t="s">
        <v>31</v>
      </c>
    </row>
    <row r="2">
      <c r="A2" s="1" t="s">
        <v>32</v>
      </c>
      <c r="B2" s="1" t="s">
        <v>7</v>
      </c>
      <c r="C2" s="1" t="s">
        <v>33</v>
      </c>
      <c r="D2" s="1">
        <v>1.0</v>
      </c>
      <c r="E2" s="1">
        <v>1.61550888E8</v>
      </c>
      <c r="F2" s="1">
        <v>6.19</v>
      </c>
      <c r="G2" s="1">
        <v>55.0</v>
      </c>
      <c r="H2" s="1">
        <v>60.0</v>
      </c>
      <c r="I2" s="1">
        <v>0.7</v>
      </c>
      <c r="J2" s="1">
        <v>125.0</v>
      </c>
      <c r="K2" s="1">
        <v>1000.0</v>
      </c>
      <c r="L2" s="1">
        <v>1900.0</v>
      </c>
      <c r="M2" s="1">
        <v>0.0</v>
      </c>
      <c r="N2" s="1">
        <v>231.0</v>
      </c>
      <c r="O2" s="1">
        <v>120000.0</v>
      </c>
      <c r="P2" s="1">
        <v>77.6454</v>
      </c>
    </row>
    <row r="3">
      <c r="A3" s="1" t="s">
        <v>32</v>
      </c>
      <c r="B3" s="1" t="s">
        <v>7</v>
      </c>
      <c r="C3" s="1" t="s">
        <v>38</v>
      </c>
      <c r="D3" s="1">
        <v>2.0</v>
      </c>
      <c r="E3" s="1">
        <v>1.61550888E8</v>
      </c>
      <c r="F3" s="1">
        <v>6.19</v>
      </c>
      <c r="G3" s="1">
        <v>55.0</v>
      </c>
      <c r="H3" s="1">
        <v>60.0</v>
      </c>
      <c r="I3" s="1">
        <v>0.7</v>
      </c>
      <c r="J3" s="1">
        <v>125.0</v>
      </c>
      <c r="K3" s="1">
        <v>1000.0</v>
      </c>
      <c r="L3" s="1">
        <v>1900.0</v>
      </c>
      <c r="M3" s="1">
        <v>0.0</v>
      </c>
      <c r="N3" s="1">
        <v>231.0</v>
      </c>
      <c r="O3" s="1">
        <v>120000.0</v>
      </c>
      <c r="P3" s="1">
        <v>77.6454</v>
      </c>
    </row>
    <row r="4">
      <c r="A4" s="1" t="s">
        <v>32</v>
      </c>
      <c r="B4" s="1" t="s">
        <v>7</v>
      </c>
      <c r="C4" s="1" t="s">
        <v>40</v>
      </c>
      <c r="D4" s="1">
        <v>3.0</v>
      </c>
      <c r="E4" s="1">
        <v>1.61550888E8</v>
      </c>
      <c r="F4" s="1">
        <v>6.19</v>
      </c>
      <c r="G4" s="1">
        <v>55.0</v>
      </c>
      <c r="H4" s="1">
        <v>60.0</v>
      </c>
      <c r="I4" s="1">
        <v>0.7</v>
      </c>
      <c r="J4" s="1">
        <v>125.0</v>
      </c>
      <c r="K4" s="1">
        <v>1000.0</v>
      </c>
      <c r="L4" s="1">
        <v>1900.0</v>
      </c>
      <c r="M4" s="1">
        <v>0.0</v>
      </c>
      <c r="N4" s="1">
        <v>231.0</v>
      </c>
      <c r="O4" s="1">
        <v>120000.0</v>
      </c>
      <c r="P4" s="1">
        <v>77.6454</v>
      </c>
    </row>
    <row r="5">
      <c r="A5" s="1" t="s">
        <v>32</v>
      </c>
      <c r="B5" s="1" t="s">
        <v>7</v>
      </c>
      <c r="C5" s="1" t="s">
        <v>43</v>
      </c>
      <c r="D5" s="1">
        <v>4.0</v>
      </c>
      <c r="E5" s="1">
        <v>1.61550888E8</v>
      </c>
      <c r="F5" s="1">
        <v>6.19</v>
      </c>
      <c r="G5" s="1">
        <v>55.0</v>
      </c>
      <c r="H5" s="1">
        <v>60.0</v>
      </c>
      <c r="I5" s="1">
        <v>0.7</v>
      </c>
      <c r="J5" s="1">
        <v>125.0</v>
      </c>
      <c r="K5" s="1">
        <v>1000.0</v>
      </c>
      <c r="L5" s="1">
        <v>1900.0</v>
      </c>
      <c r="M5" s="1">
        <v>0.0</v>
      </c>
      <c r="N5" s="1">
        <v>231.0</v>
      </c>
      <c r="O5" s="1">
        <v>120000.0</v>
      </c>
      <c r="P5" s="1">
        <v>77.6454</v>
      </c>
    </row>
    <row r="6">
      <c r="A6" s="1" t="s">
        <v>45</v>
      </c>
      <c r="B6" s="1" t="s">
        <v>7</v>
      </c>
      <c r="C6" s="1" t="s">
        <v>41</v>
      </c>
      <c r="D6" s="1">
        <v>5.0</v>
      </c>
      <c r="E6" s="1">
        <v>8.71E9</v>
      </c>
      <c r="F6" s="1">
        <v>0.1</v>
      </c>
      <c r="G6" s="1">
        <v>55.0</v>
      </c>
      <c r="H6" s="1">
        <v>60.0</v>
      </c>
      <c r="I6" s="1">
        <v>0.7</v>
      </c>
      <c r="J6" s="1">
        <v>125.0</v>
      </c>
      <c r="K6" s="1">
        <v>1000.0</v>
      </c>
      <c r="L6" s="1">
        <v>101758.0</v>
      </c>
      <c r="M6" s="1">
        <v>0.0</v>
      </c>
      <c r="N6" s="1">
        <v>231.0</v>
      </c>
      <c r="O6" s="1">
        <v>120000.0</v>
      </c>
      <c r="P6" s="1">
        <v>77.6454</v>
      </c>
    </row>
    <row r="7">
      <c r="A7" s="1" t="s">
        <v>46</v>
      </c>
      <c r="B7" s="1" t="s">
        <v>7</v>
      </c>
      <c r="C7" s="1" t="s">
        <v>47</v>
      </c>
      <c r="D7" s="1">
        <v>6.0</v>
      </c>
      <c r="E7" s="1">
        <v>5.0E9</v>
      </c>
      <c r="F7" s="1">
        <v>0.2</v>
      </c>
      <c r="G7" s="1">
        <v>55.0</v>
      </c>
      <c r="H7" s="1">
        <v>60.0</v>
      </c>
      <c r="I7" s="1">
        <v>0.7</v>
      </c>
      <c r="J7" s="1">
        <v>125.0</v>
      </c>
      <c r="K7" s="1">
        <v>1000.0</v>
      </c>
      <c r="L7" s="1">
        <v>87285.0</v>
      </c>
      <c r="M7" s="1">
        <v>0.0</v>
      </c>
      <c r="N7" s="1">
        <v>231.0</v>
      </c>
      <c r="O7" s="1">
        <v>120000.0</v>
      </c>
      <c r="P7" s="1">
        <v>77.6454</v>
      </c>
    </row>
    <row r="8">
      <c r="A8" s="1" t="s">
        <v>48</v>
      </c>
      <c r="B8" s="1" t="s">
        <v>7</v>
      </c>
      <c r="C8" s="1" t="s">
        <v>49</v>
      </c>
      <c r="D8" s="1">
        <v>7.0</v>
      </c>
      <c r="E8" s="1">
        <v>8.71E9</v>
      </c>
      <c r="F8" s="1">
        <v>0.1</v>
      </c>
      <c r="G8" s="1">
        <v>55.0</v>
      </c>
      <c r="H8" s="1">
        <v>60.0</v>
      </c>
      <c r="I8" s="1">
        <v>0.7</v>
      </c>
      <c r="J8" s="1">
        <v>125.0</v>
      </c>
      <c r="K8" s="1">
        <v>1000.0</v>
      </c>
      <c r="L8" s="1">
        <v>101758.0</v>
      </c>
      <c r="M8" s="1">
        <v>0.0</v>
      </c>
      <c r="N8" s="1">
        <v>231.0</v>
      </c>
      <c r="O8" s="1">
        <v>120000.0</v>
      </c>
      <c r="P8" s="1">
        <v>77.6454</v>
      </c>
    </row>
    <row r="9">
      <c r="A9" s="1" t="s">
        <v>50</v>
      </c>
      <c r="B9" s="1" t="s">
        <v>7</v>
      </c>
      <c r="C9" s="1" t="s">
        <v>51</v>
      </c>
      <c r="D9" s="1">
        <v>8.0</v>
      </c>
      <c r="E9" s="1">
        <v>5.0E9</v>
      </c>
      <c r="F9" s="1">
        <v>0.2</v>
      </c>
      <c r="G9" s="1">
        <v>55.0</v>
      </c>
      <c r="H9" s="1">
        <v>60.0</v>
      </c>
      <c r="I9" s="1">
        <v>0.7</v>
      </c>
      <c r="J9" s="1">
        <v>125.0</v>
      </c>
      <c r="K9" s="1">
        <v>1000.0</v>
      </c>
      <c r="L9" s="1">
        <v>87285.0</v>
      </c>
      <c r="M9" s="1">
        <v>0.0</v>
      </c>
      <c r="N9" s="1">
        <v>231.0</v>
      </c>
      <c r="O9" s="1">
        <v>120000.0</v>
      </c>
      <c r="P9" s="1">
        <v>77.6454</v>
      </c>
    </row>
    <row r="10">
      <c r="A10" s="1" t="s">
        <v>52</v>
      </c>
      <c r="B10" s="1" t="s">
        <v>7</v>
      </c>
      <c r="C10" s="1" t="s">
        <v>55</v>
      </c>
      <c r="D10" s="1">
        <v>9.0</v>
      </c>
      <c r="E10" s="1">
        <v>5.97E8</v>
      </c>
      <c r="F10" s="1">
        <v>1.7</v>
      </c>
      <c r="G10" s="1">
        <v>55.0</v>
      </c>
      <c r="H10" s="1">
        <v>60.0</v>
      </c>
      <c r="I10" s="1">
        <v>0.7</v>
      </c>
      <c r="J10" s="1">
        <v>125.0</v>
      </c>
      <c r="K10" s="1">
        <v>1000.0</v>
      </c>
      <c r="L10" s="1">
        <v>6973.0</v>
      </c>
      <c r="M10" s="1">
        <v>0.0</v>
      </c>
      <c r="N10" s="1">
        <v>231.0</v>
      </c>
      <c r="O10" s="1">
        <v>120000.0</v>
      </c>
      <c r="P10" s="1">
        <v>77.6454</v>
      </c>
    </row>
    <row r="11">
      <c r="A11" s="1" t="s">
        <v>58</v>
      </c>
      <c r="B11" s="1" t="s">
        <v>60</v>
      </c>
      <c r="C11" s="1" t="s">
        <v>62</v>
      </c>
      <c r="D11" s="1">
        <v>10.0</v>
      </c>
      <c r="E11" s="9">
        <v>9.09E11</v>
      </c>
      <c r="F11" s="1">
        <v>0.0011</v>
      </c>
      <c r="G11" s="1">
        <v>55.0</v>
      </c>
      <c r="H11" s="1">
        <v>60.0</v>
      </c>
      <c r="I11" s="1">
        <v>0.7</v>
      </c>
      <c r="J11" s="1">
        <v>150.0</v>
      </c>
      <c r="K11" s="1">
        <v>1000.0</v>
      </c>
      <c r="L11" s="1">
        <v>231.0</v>
      </c>
      <c r="M11" s="1">
        <v>0.0</v>
      </c>
      <c r="N11" s="1">
        <v>231.0</v>
      </c>
      <c r="O11" s="1">
        <v>120000.0</v>
      </c>
      <c r="P11" s="1">
        <v>259.1825</v>
      </c>
    </row>
    <row r="12">
      <c r="A12" s="1" t="s">
        <v>58</v>
      </c>
      <c r="B12" s="1" t="s">
        <v>60</v>
      </c>
      <c r="C12" s="1" t="s">
        <v>70</v>
      </c>
      <c r="D12" s="1">
        <v>11.0</v>
      </c>
      <c r="E12" s="9">
        <v>9.09E11</v>
      </c>
      <c r="F12" s="1">
        <v>0.0011</v>
      </c>
      <c r="G12" s="1">
        <v>55.0</v>
      </c>
      <c r="H12" s="1">
        <v>60.0</v>
      </c>
      <c r="I12" s="1">
        <v>0.7</v>
      </c>
      <c r="J12" s="1">
        <v>150.0</v>
      </c>
      <c r="K12" s="1">
        <v>1000.0</v>
      </c>
      <c r="L12" s="1">
        <v>231.0</v>
      </c>
      <c r="M12" s="1">
        <v>0.0</v>
      </c>
      <c r="N12" s="1">
        <v>231.0</v>
      </c>
      <c r="O12" s="1">
        <v>120000.0</v>
      </c>
      <c r="P12" s="1">
        <v>259.1825</v>
      </c>
    </row>
    <row r="13">
      <c r="A13" s="1" t="s">
        <v>58</v>
      </c>
      <c r="B13" s="1" t="s">
        <v>60</v>
      </c>
      <c r="C13" s="1" t="s">
        <v>71</v>
      </c>
      <c r="D13" s="1">
        <v>12.0</v>
      </c>
      <c r="E13" s="9">
        <v>9.09E11</v>
      </c>
      <c r="F13" s="1">
        <v>0.0011</v>
      </c>
      <c r="G13" s="1">
        <v>55.0</v>
      </c>
      <c r="H13" s="1">
        <v>60.0</v>
      </c>
      <c r="I13" s="1">
        <v>0.7</v>
      </c>
      <c r="J13" s="1">
        <v>150.0</v>
      </c>
      <c r="K13" s="1">
        <v>1000.0</v>
      </c>
      <c r="L13" s="1">
        <v>231.0</v>
      </c>
      <c r="M13" s="1">
        <v>0.0</v>
      </c>
      <c r="N13" s="1">
        <v>231.0</v>
      </c>
      <c r="O13" s="1">
        <v>120000.0</v>
      </c>
      <c r="P13" s="1">
        <v>259.1825</v>
      </c>
    </row>
    <row r="14">
      <c r="A14" s="1" t="s">
        <v>58</v>
      </c>
      <c r="B14" s="1" t="s">
        <v>60</v>
      </c>
      <c r="C14" s="1" t="s">
        <v>72</v>
      </c>
      <c r="D14" s="1">
        <v>13.0</v>
      </c>
      <c r="E14" s="9">
        <v>9.09E11</v>
      </c>
      <c r="F14" s="1">
        <v>0.0011</v>
      </c>
      <c r="G14" s="1">
        <v>55.0</v>
      </c>
      <c r="H14" s="1">
        <v>60.0</v>
      </c>
      <c r="I14" s="1">
        <v>0.7</v>
      </c>
      <c r="J14" s="1">
        <v>150.0</v>
      </c>
      <c r="K14" s="1">
        <v>1000.0</v>
      </c>
      <c r="L14" s="1">
        <v>231.0</v>
      </c>
      <c r="M14" s="1">
        <v>0.0</v>
      </c>
      <c r="N14" s="1">
        <v>231.0</v>
      </c>
      <c r="O14" s="1">
        <v>120000.0</v>
      </c>
      <c r="P14" s="1">
        <v>259.1825</v>
      </c>
    </row>
    <row r="15">
      <c r="A15" s="1" t="s">
        <v>58</v>
      </c>
      <c r="B15" s="1" t="s">
        <v>60</v>
      </c>
      <c r="C15" s="1" t="s">
        <v>73</v>
      </c>
      <c r="D15" s="1">
        <v>14.0</v>
      </c>
      <c r="E15" s="9">
        <v>9.09E11</v>
      </c>
      <c r="F15" s="1">
        <v>0.0011</v>
      </c>
      <c r="G15" s="1">
        <v>55.0</v>
      </c>
      <c r="H15" s="1">
        <v>60.0</v>
      </c>
      <c r="I15" s="1">
        <v>0.7</v>
      </c>
      <c r="J15" s="1">
        <v>150.0</v>
      </c>
      <c r="K15" s="1">
        <v>1000.0</v>
      </c>
      <c r="L15" s="1">
        <v>231.0</v>
      </c>
      <c r="M15" s="1">
        <v>0.0</v>
      </c>
      <c r="N15" s="1">
        <v>231.0</v>
      </c>
      <c r="O15" s="1">
        <v>120000.0</v>
      </c>
      <c r="P15" s="1">
        <v>259.1825</v>
      </c>
    </row>
    <row r="20">
      <c r="A20" s="11" t="s">
        <v>74</v>
      </c>
    </row>
    <row r="21">
      <c r="A21" s="1" t="s">
        <v>32</v>
      </c>
      <c r="B21" s="1" t="s">
        <v>7</v>
      </c>
      <c r="C21" s="12" t="s">
        <v>43</v>
      </c>
      <c r="E21" s="1" t="s">
        <v>75</v>
      </c>
      <c r="F21" s="1">
        <v>6.19</v>
      </c>
      <c r="G21" s="1">
        <v>55.0</v>
      </c>
      <c r="H21" s="1">
        <v>60.0</v>
      </c>
      <c r="I21" s="1">
        <v>0.7</v>
      </c>
      <c r="J21" s="1">
        <v>125.0</v>
      </c>
      <c r="K21" s="1">
        <v>1000.0</v>
      </c>
      <c r="L21" s="1">
        <v>1900.0</v>
      </c>
      <c r="M21" s="1">
        <v>0.0</v>
      </c>
      <c r="N21" s="1">
        <v>231.0</v>
      </c>
      <c r="O21" s="1">
        <v>120000.0</v>
      </c>
      <c r="P21" s="1">
        <v>77.6454</v>
      </c>
    </row>
    <row r="22">
      <c r="A22" s="1" t="s">
        <v>58</v>
      </c>
      <c r="B22" s="1" t="s">
        <v>60</v>
      </c>
      <c r="C22" s="12" t="s">
        <v>62</v>
      </c>
      <c r="D22" s="1">
        <v>10.0</v>
      </c>
      <c r="E22" s="9">
        <v>9.09E11</v>
      </c>
      <c r="F22" s="1">
        <v>0.0011</v>
      </c>
      <c r="G22" s="1">
        <v>55.0</v>
      </c>
      <c r="H22" s="1">
        <v>60.0</v>
      </c>
      <c r="I22" s="1">
        <v>0.7</v>
      </c>
      <c r="J22" s="1">
        <v>150.0</v>
      </c>
      <c r="K22" s="1">
        <v>1000.0</v>
      </c>
      <c r="L22" s="1">
        <v>231.0</v>
      </c>
      <c r="M22" s="1">
        <v>0.0</v>
      </c>
      <c r="N22" s="1">
        <v>231.0</v>
      </c>
      <c r="O22" s="1">
        <v>120000.0</v>
      </c>
      <c r="P22" s="1">
        <v>259.1825</v>
      </c>
    </row>
    <row r="28">
      <c r="A28" s="11" t="s">
        <v>89</v>
      </c>
    </row>
    <row r="29">
      <c r="A29" s="1" t="s">
        <v>45</v>
      </c>
      <c r="B29" s="1" t="s">
        <v>7</v>
      </c>
      <c r="C29" s="12" t="s">
        <v>41</v>
      </c>
      <c r="D29" s="1">
        <v>5.0</v>
      </c>
      <c r="E29" s="1">
        <v>8.71E9</v>
      </c>
      <c r="F29" s="1">
        <v>0.1</v>
      </c>
      <c r="G29" s="1">
        <v>55.0</v>
      </c>
      <c r="H29" s="1">
        <v>60.0</v>
      </c>
      <c r="I29" s="1">
        <v>0.7</v>
      </c>
      <c r="J29" s="1">
        <v>125.0</v>
      </c>
      <c r="K29" s="1">
        <v>1000.0</v>
      </c>
      <c r="L29" s="1">
        <v>101758.0</v>
      </c>
      <c r="M29" s="1">
        <v>0.0</v>
      </c>
      <c r="N29" s="1">
        <v>231.0</v>
      </c>
      <c r="O29" s="1">
        <v>120000.0</v>
      </c>
      <c r="P29" s="1">
        <v>77.6454</v>
      </c>
    </row>
    <row r="30">
      <c r="B30" s="1" t="s">
        <v>9</v>
      </c>
      <c r="C30" s="12" t="s">
        <v>90</v>
      </c>
      <c r="E30" s="1">
        <v>6.07375673E9</v>
      </c>
      <c r="F30" s="1">
        <v>33.95</v>
      </c>
      <c r="G30" s="1">
        <v>55.0</v>
      </c>
      <c r="H30" s="1">
        <v>60.0</v>
      </c>
      <c r="I30" s="1">
        <v>0.7</v>
      </c>
      <c r="J30" s="1">
        <v>125.0</v>
      </c>
      <c r="K30" s="1">
        <v>1000.0</v>
      </c>
      <c r="L30" s="15">
        <v>37101.0</v>
      </c>
      <c r="M30" s="1">
        <v>0.0</v>
      </c>
    </row>
    <row r="31">
      <c r="B31" s="12" t="s">
        <v>91</v>
      </c>
      <c r="C31" s="1" t="s">
        <v>92</v>
      </c>
      <c r="E31" s="1">
        <v>2.69E8</v>
      </c>
      <c r="F31" s="1">
        <v>3.72</v>
      </c>
      <c r="G31" s="1">
        <v>55.0</v>
      </c>
      <c r="H31" s="1">
        <v>60.0</v>
      </c>
      <c r="I31" s="1">
        <v>0.7</v>
      </c>
      <c r="J31" s="1">
        <v>125.0</v>
      </c>
      <c r="K31" s="1">
        <v>1000.0</v>
      </c>
      <c r="L31" s="16">
        <v>3856.0</v>
      </c>
    </row>
    <row r="33">
      <c r="A33" s="11" t="s">
        <v>93</v>
      </c>
    </row>
    <row r="34">
      <c r="A34" s="1" t="s">
        <v>46</v>
      </c>
      <c r="B34" s="1" t="s">
        <v>7</v>
      </c>
      <c r="C34" s="1" t="s">
        <v>47</v>
      </c>
      <c r="D34" s="1">
        <v>6.0</v>
      </c>
      <c r="E34" s="1">
        <v>5.0E9</v>
      </c>
      <c r="F34" s="1">
        <v>0.2</v>
      </c>
      <c r="G34" s="1">
        <v>55.0</v>
      </c>
      <c r="H34" s="1">
        <v>60.0</v>
      </c>
      <c r="I34" s="1">
        <v>0.7</v>
      </c>
      <c r="J34" s="1">
        <v>125.0</v>
      </c>
      <c r="K34" s="1">
        <v>1000.0</v>
      </c>
      <c r="L34" s="1">
        <v>87285.0</v>
      </c>
      <c r="M34" s="1">
        <v>0.0</v>
      </c>
      <c r="N34" s="1">
        <v>231.0</v>
      </c>
      <c r="O34" s="1">
        <v>120000.0</v>
      </c>
      <c r="P34" s="1">
        <v>77.6454</v>
      </c>
    </row>
    <row r="35">
      <c r="B35" s="1" t="s">
        <v>9</v>
      </c>
      <c r="C35" s="12" t="s">
        <v>94</v>
      </c>
      <c r="E35" s="15">
        <v>4.9916683E7</v>
      </c>
      <c r="F35" s="1">
        <v>20.23</v>
      </c>
      <c r="G35" s="1">
        <v>55.0</v>
      </c>
      <c r="H35" s="1">
        <v>60.0</v>
      </c>
      <c r="I35" s="1">
        <v>0.7</v>
      </c>
      <c r="J35" s="1">
        <v>125.0</v>
      </c>
      <c r="K35" s="1">
        <v>1000.0</v>
      </c>
      <c r="L35" s="15">
        <v>58148.0</v>
      </c>
      <c r="M35" s="15">
        <v>1.0</v>
      </c>
    </row>
    <row r="37">
      <c r="A37" s="11" t="s">
        <v>95</v>
      </c>
    </row>
    <row r="38">
      <c r="A38" s="1" t="s">
        <v>48</v>
      </c>
      <c r="B38" s="1" t="s">
        <v>7</v>
      </c>
      <c r="C38" s="1" t="s">
        <v>49</v>
      </c>
      <c r="D38" s="1">
        <v>7.0</v>
      </c>
      <c r="E38" s="1">
        <v>8.71E9</v>
      </c>
      <c r="F38" s="1">
        <v>0.1</v>
      </c>
      <c r="G38" s="1">
        <v>55.0</v>
      </c>
      <c r="H38" s="1">
        <v>60.0</v>
      </c>
      <c r="I38" s="1">
        <v>0.7</v>
      </c>
      <c r="J38" s="1">
        <v>125.0</v>
      </c>
      <c r="K38" s="1">
        <v>1000.0</v>
      </c>
      <c r="L38" s="1">
        <v>101758.0</v>
      </c>
      <c r="M38" s="1">
        <v>0.0</v>
      </c>
      <c r="N38" s="1">
        <v>231.0</v>
      </c>
      <c r="O38" s="1">
        <v>120000.0</v>
      </c>
      <c r="P38" s="1">
        <v>77.6454</v>
      </c>
    </row>
    <row r="39">
      <c r="B39" s="1" t="s">
        <v>9</v>
      </c>
      <c r="C39" s="12" t="s">
        <v>96</v>
      </c>
      <c r="E39" s="17">
        <v>3.557436E7</v>
      </c>
      <c r="F39" s="1">
        <v>28.1</v>
      </c>
      <c r="G39" s="1">
        <v>25.0</v>
      </c>
      <c r="H39" s="1">
        <v>60.0</v>
      </c>
      <c r="I39" s="1">
        <v>0.7</v>
      </c>
      <c r="J39" s="1">
        <v>125.0</v>
      </c>
      <c r="K39" s="1">
        <v>1000.0</v>
      </c>
      <c r="M39" s="1">
        <v>0.0</v>
      </c>
    </row>
    <row r="41">
      <c r="G41" s="1" t="s">
        <v>99</v>
      </c>
    </row>
    <row r="42">
      <c r="A42" s="11" t="s">
        <v>100</v>
      </c>
    </row>
    <row r="43">
      <c r="A43" s="1" t="s">
        <v>50</v>
      </c>
      <c r="B43" s="1" t="s">
        <v>7</v>
      </c>
      <c r="C43" s="1" t="s">
        <v>51</v>
      </c>
      <c r="D43" s="1">
        <v>8.0</v>
      </c>
      <c r="E43" s="1">
        <v>5.0E9</v>
      </c>
      <c r="F43" s="1">
        <v>0.2</v>
      </c>
      <c r="G43" s="1">
        <v>55.0</v>
      </c>
      <c r="H43" s="1">
        <v>60.0</v>
      </c>
      <c r="I43" s="1">
        <v>0.7</v>
      </c>
      <c r="J43" s="1">
        <v>125.0</v>
      </c>
      <c r="K43" s="1">
        <v>1000.0</v>
      </c>
      <c r="L43" s="1">
        <v>87285.0</v>
      </c>
      <c r="M43" s="1">
        <v>0.0</v>
      </c>
      <c r="N43" s="1">
        <v>231.0</v>
      </c>
      <c r="O43" s="1">
        <v>120000.0</v>
      </c>
      <c r="P43" s="1">
        <v>77.6454</v>
      </c>
    </row>
    <row r="44">
      <c r="B44" s="1" t="s">
        <v>9</v>
      </c>
      <c r="C44" s="1" t="s">
        <v>102</v>
      </c>
      <c r="E44" s="15">
        <v>8.8652581E7</v>
      </c>
      <c r="F44" s="1">
        <v>11.28</v>
      </c>
      <c r="G44" s="1">
        <v>55.0</v>
      </c>
      <c r="H44" s="1">
        <v>60.0</v>
      </c>
      <c r="I44" s="1">
        <v>0.7</v>
      </c>
      <c r="J44" s="1">
        <v>125.0</v>
      </c>
      <c r="K44" s="1">
        <v>1000.0</v>
      </c>
      <c r="L44" s="1">
        <v>31664.0</v>
      </c>
      <c r="M44" s="1">
        <v>0.0</v>
      </c>
    </row>
    <row r="46">
      <c r="A46" s="11" t="s">
        <v>64</v>
      </c>
    </row>
    <row r="47">
      <c r="A47" s="1" t="s">
        <v>52</v>
      </c>
      <c r="B47" s="1" t="s">
        <v>7</v>
      </c>
      <c r="C47" s="1" t="s">
        <v>55</v>
      </c>
      <c r="D47" s="1">
        <v>9.0</v>
      </c>
      <c r="E47" s="1">
        <v>5.97E8</v>
      </c>
      <c r="F47" s="1">
        <v>1.7</v>
      </c>
      <c r="G47" s="1">
        <v>55.0</v>
      </c>
      <c r="H47" s="1">
        <v>60.0</v>
      </c>
      <c r="I47" s="1">
        <v>0.7</v>
      </c>
      <c r="J47" s="1">
        <v>125.0</v>
      </c>
      <c r="K47" s="1">
        <v>1000.0</v>
      </c>
      <c r="L47" s="1">
        <v>6973.0</v>
      </c>
      <c r="M47" s="1">
        <v>0.0</v>
      </c>
      <c r="N47" s="1">
        <v>231.0</v>
      </c>
      <c r="O47" s="1">
        <v>120000.0</v>
      </c>
      <c r="P47" s="1">
        <v>77.6454</v>
      </c>
    </row>
  </sheetData>
  <mergeCells count="6">
    <mergeCell ref="A20:E20"/>
    <mergeCell ref="A28:E28"/>
    <mergeCell ref="A33:E33"/>
    <mergeCell ref="A37:E37"/>
    <mergeCell ref="A42:E42"/>
    <mergeCell ref="A46:E46"/>
  </mergeCells>
  <hyperlinks>
    <hyperlink r:id="rId1" location="resultstable" ref="C21"/>
    <hyperlink r:id="rId2" ref="C22"/>
    <hyperlink r:id="rId3" location="resultstable" ref="C29"/>
    <hyperlink r:id="rId4" ref="C30"/>
    <hyperlink r:id="rId5" ref="B31"/>
    <hyperlink r:id="rId6" ref="C35"/>
    <hyperlink r:id="rId7" ref="C39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7.0"/>
    <col customWidth="1" min="3" max="7" width="21.0"/>
  </cols>
  <sheetData>
    <row r="1">
      <c r="A1" s="1" t="s">
        <v>1</v>
      </c>
    </row>
    <row r="3">
      <c r="A3" s="1" t="s">
        <v>3</v>
      </c>
    </row>
    <row r="4">
      <c r="A4" s="1" t="s">
        <v>5</v>
      </c>
      <c r="B4" s="1" t="s">
        <v>7</v>
      </c>
      <c r="C4" s="1" t="s">
        <v>9</v>
      </c>
      <c r="D4" s="1" t="s">
        <v>11</v>
      </c>
      <c r="E4" s="1" t="s">
        <v>13</v>
      </c>
      <c r="F4" s="1" t="s">
        <v>15</v>
      </c>
      <c r="G4" s="1" t="s">
        <v>17</v>
      </c>
    </row>
    <row r="5">
      <c r="A5" s="1" t="s">
        <v>19</v>
      </c>
      <c r="B5" s="1" t="s">
        <v>7</v>
      </c>
      <c r="C5" s="1" t="s">
        <v>9</v>
      </c>
      <c r="D5" s="1" t="s">
        <v>13</v>
      </c>
      <c r="E5" s="1" t="s">
        <v>24</v>
      </c>
      <c r="F5" s="1" t="s">
        <v>26</v>
      </c>
      <c r="G5" s="1" t="s">
        <v>28</v>
      </c>
    </row>
    <row r="6">
      <c r="A6" s="1" t="s">
        <v>30</v>
      </c>
      <c r="B6" s="1" t="s">
        <v>7</v>
      </c>
      <c r="C6" s="1" t="s">
        <v>53</v>
      </c>
      <c r="D6" s="1" t="s">
        <v>9</v>
      </c>
      <c r="E6" s="1" t="s">
        <v>54</v>
      </c>
      <c r="F6" s="1" t="s">
        <v>11</v>
      </c>
      <c r="G6" s="1" t="s">
        <v>56</v>
      </c>
    </row>
    <row r="7">
      <c r="A7" s="1" t="s">
        <v>57</v>
      </c>
      <c r="B7" s="1" t="s">
        <v>7</v>
      </c>
      <c r="C7" s="1" t="s">
        <v>13</v>
      </c>
      <c r="D7" s="1" t="s">
        <v>59</v>
      </c>
      <c r="E7" s="1" t="s">
        <v>61</v>
      </c>
      <c r="F7" s="1" t="s">
        <v>54</v>
      </c>
      <c r="G7" s="1" t="s">
        <v>63</v>
      </c>
    </row>
    <row r="8">
      <c r="A8" s="1" t="s">
        <v>64</v>
      </c>
      <c r="B8" s="1" t="s">
        <v>7</v>
      </c>
      <c r="C8" s="1" t="s">
        <v>13</v>
      </c>
      <c r="D8" s="1" t="s">
        <v>65</v>
      </c>
      <c r="E8" s="1" t="s">
        <v>66</v>
      </c>
      <c r="F8" s="1" t="s">
        <v>67</v>
      </c>
      <c r="G8" s="1" t="s">
        <v>68</v>
      </c>
    </row>
    <row r="11">
      <c r="A11" s="10" t="s">
        <v>69</v>
      </c>
    </row>
    <row r="12">
      <c r="A12" s="12" t="s">
        <v>7</v>
      </c>
    </row>
    <row r="13">
      <c r="A13" s="12" t="s">
        <v>9</v>
      </c>
    </row>
    <row r="14">
      <c r="A14" s="1" t="s">
        <v>11</v>
      </c>
      <c r="B14" s="1" t="s">
        <v>76</v>
      </c>
    </row>
    <row r="15">
      <c r="A15" s="12" t="s">
        <v>13</v>
      </c>
    </row>
    <row r="16">
      <c r="A16" s="1" t="s">
        <v>15</v>
      </c>
    </row>
    <row r="17">
      <c r="A17" s="12" t="s">
        <v>17</v>
      </c>
    </row>
    <row r="18">
      <c r="A18" s="12" t="s">
        <v>53</v>
      </c>
      <c r="B18" s="1" t="s">
        <v>76</v>
      </c>
    </row>
    <row r="19">
      <c r="A19" s="12" t="s">
        <v>77</v>
      </c>
    </row>
    <row r="21">
      <c r="A21" s="1" t="s">
        <v>63</v>
      </c>
      <c r="B21" s="1" t="s">
        <v>78</v>
      </c>
    </row>
    <row r="22">
      <c r="A22" s="1" t="s">
        <v>65</v>
      </c>
      <c r="B22" s="1" t="s">
        <v>78</v>
      </c>
    </row>
    <row r="23">
      <c r="A23" s="1" t="s">
        <v>66</v>
      </c>
      <c r="B23" s="1" t="s">
        <v>78</v>
      </c>
    </row>
    <row r="24">
      <c r="A24" s="1" t="s">
        <v>67</v>
      </c>
    </row>
    <row r="25">
      <c r="A25" s="1" t="s">
        <v>68</v>
      </c>
    </row>
  </sheetData>
  <hyperlinks>
    <hyperlink r:id="rId1" ref="A12"/>
    <hyperlink r:id="rId2" ref="A13"/>
    <hyperlink r:id="rId3" ref="A15"/>
    <hyperlink r:id="rId4" ref="A17"/>
    <hyperlink r:id="rId5" location="/" ref="A18"/>
    <hyperlink r:id="rId6" ref="A19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7.38"/>
    <col customWidth="1" min="3" max="3" width="20.0"/>
    <col customWidth="1" min="4" max="4" width="18.25"/>
    <col customWidth="1" min="5" max="5" width="15.5"/>
    <col customWidth="1" min="6" max="6" width="114.0"/>
    <col customWidth="1" min="7" max="7" width="49.0"/>
    <col customWidth="1" min="8" max="8" width="21.13"/>
  </cols>
  <sheetData>
    <row r="1">
      <c r="F1" s="2"/>
    </row>
    <row r="2">
      <c r="A2" s="1" t="s">
        <v>12</v>
      </c>
      <c r="F2" s="2"/>
    </row>
    <row r="3">
      <c r="F3" s="2"/>
    </row>
    <row r="4">
      <c r="A4" s="3" t="s">
        <v>22</v>
      </c>
      <c r="B4" s="3" t="s">
        <v>2</v>
      </c>
      <c r="C4" s="3" t="s">
        <v>34</v>
      </c>
      <c r="D4" s="3" t="s">
        <v>35</v>
      </c>
      <c r="E4" s="3" t="s">
        <v>36</v>
      </c>
      <c r="F4" s="4" t="s">
        <v>37</v>
      </c>
      <c r="G4" s="5"/>
      <c r="H4" s="5"/>
      <c r="I4" s="6"/>
      <c r="M4" s="6"/>
      <c r="N4" s="6"/>
      <c r="O4" s="6"/>
    </row>
    <row r="5">
      <c r="A5" s="7" t="s">
        <v>39</v>
      </c>
      <c r="B5" s="7" t="s">
        <v>7</v>
      </c>
      <c r="C5" s="7" t="s">
        <v>41</v>
      </c>
      <c r="D5" s="8">
        <v>25.82</v>
      </c>
      <c r="E5" s="7" t="s">
        <v>42</v>
      </c>
      <c r="F5" s="13" t="s">
        <v>44</v>
      </c>
      <c r="G5" s="14"/>
      <c r="H5" s="14"/>
      <c r="I5" s="6"/>
      <c r="M5" s="6"/>
      <c r="N5" s="6"/>
      <c r="O5" s="6"/>
    </row>
    <row r="6">
      <c r="A6" s="7" t="s">
        <v>39</v>
      </c>
      <c r="B6" s="7" t="s">
        <v>9</v>
      </c>
      <c r="C6" s="7" t="s">
        <v>79</v>
      </c>
      <c r="D6" s="8">
        <v>18.74</v>
      </c>
      <c r="E6" s="7" t="s">
        <v>42</v>
      </c>
      <c r="F6" s="13" t="s">
        <v>80</v>
      </c>
      <c r="G6" s="14"/>
      <c r="H6" s="14"/>
      <c r="I6" s="6"/>
      <c r="M6" s="6"/>
      <c r="N6" s="6"/>
      <c r="O6" s="6"/>
    </row>
    <row r="7">
      <c r="A7" s="7" t="s">
        <v>39</v>
      </c>
      <c r="B7" s="7" t="s">
        <v>81</v>
      </c>
      <c r="C7" s="7" t="s">
        <v>82</v>
      </c>
      <c r="D7" s="8">
        <v>14.37</v>
      </c>
      <c r="E7" s="7" t="s">
        <v>42</v>
      </c>
      <c r="F7" s="13" t="s">
        <v>83</v>
      </c>
      <c r="G7" s="14"/>
      <c r="H7" s="14"/>
      <c r="I7" s="6"/>
      <c r="M7" s="6"/>
      <c r="N7" s="6"/>
      <c r="O7" s="6"/>
    </row>
    <row r="8">
      <c r="A8" s="7" t="s">
        <v>39</v>
      </c>
      <c r="B8" s="7" t="s">
        <v>13</v>
      </c>
      <c r="C8" s="7" t="s">
        <v>84</v>
      </c>
      <c r="D8" s="8">
        <v>7.09</v>
      </c>
      <c r="E8" s="7" t="s">
        <v>42</v>
      </c>
      <c r="F8" s="13" t="s">
        <v>85</v>
      </c>
      <c r="G8" s="14"/>
      <c r="H8" s="14"/>
      <c r="I8" s="6"/>
      <c r="M8" s="6"/>
      <c r="N8" s="6"/>
      <c r="O8" s="6"/>
    </row>
    <row r="9">
      <c r="A9" s="7" t="s">
        <v>39</v>
      </c>
      <c r="B9" s="7" t="s">
        <v>86</v>
      </c>
      <c r="C9" s="7" t="s">
        <v>87</v>
      </c>
      <c r="D9" s="8">
        <v>11.99</v>
      </c>
      <c r="E9" s="7" t="s">
        <v>42</v>
      </c>
      <c r="F9" s="13" t="s">
        <v>88</v>
      </c>
      <c r="G9" s="14"/>
      <c r="H9" s="14"/>
      <c r="I9" s="6"/>
      <c r="M9" s="6"/>
      <c r="N9" s="6"/>
      <c r="O9" s="6"/>
    </row>
    <row r="10">
      <c r="A10" s="7" t="s">
        <v>39</v>
      </c>
      <c r="B10" s="7" t="s">
        <v>97</v>
      </c>
      <c r="C10" s="7" t="s">
        <v>92</v>
      </c>
      <c r="D10" s="8">
        <v>17.64</v>
      </c>
      <c r="E10" s="7" t="s">
        <v>42</v>
      </c>
      <c r="F10" s="13" t="s">
        <v>98</v>
      </c>
      <c r="G10" s="14"/>
      <c r="H10" s="14"/>
      <c r="I10" s="6"/>
      <c r="M10" s="6"/>
      <c r="N10" s="6"/>
      <c r="O10" s="6"/>
    </row>
    <row r="11">
      <c r="A11" s="18" t="s">
        <v>101</v>
      </c>
      <c r="B11" s="18" t="s">
        <v>7</v>
      </c>
      <c r="C11" s="18" t="s">
        <v>47</v>
      </c>
      <c r="D11" s="19">
        <v>3.83</v>
      </c>
      <c r="E11" s="18" t="s">
        <v>42</v>
      </c>
      <c r="F11" s="20" t="s">
        <v>103</v>
      </c>
      <c r="G11" s="14"/>
      <c r="H11" s="14"/>
      <c r="I11" s="6"/>
      <c r="M11" s="6"/>
      <c r="N11" s="6"/>
      <c r="O11" s="6"/>
    </row>
    <row r="12">
      <c r="A12" s="18" t="s">
        <v>101</v>
      </c>
      <c r="B12" s="18" t="s">
        <v>9</v>
      </c>
      <c r="C12" s="18" t="s">
        <v>104</v>
      </c>
      <c r="D12" s="19">
        <v>4.63</v>
      </c>
      <c r="E12" s="18" t="s">
        <v>42</v>
      </c>
      <c r="F12" s="20" t="s">
        <v>105</v>
      </c>
      <c r="G12" s="14"/>
      <c r="H12" s="14"/>
      <c r="I12" s="6"/>
      <c r="M12" s="6"/>
      <c r="N12" s="6"/>
      <c r="O12" s="6"/>
    </row>
    <row r="13">
      <c r="A13" s="18" t="s">
        <v>101</v>
      </c>
      <c r="B13" s="18" t="s">
        <v>13</v>
      </c>
      <c r="C13" s="18" t="s">
        <v>106</v>
      </c>
      <c r="D13" s="19">
        <v>2.3</v>
      </c>
      <c r="E13" s="18" t="s">
        <v>42</v>
      </c>
      <c r="F13" s="20" t="s">
        <v>107</v>
      </c>
      <c r="G13" s="14"/>
      <c r="H13" s="14"/>
      <c r="I13" s="6"/>
      <c r="J13" s="6"/>
      <c r="K13" s="6"/>
      <c r="L13" s="6"/>
      <c r="M13" s="6"/>
      <c r="N13" s="6"/>
      <c r="O13" s="6"/>
    </row>
    <row r="14">
      <c r="A14" s="18" t="s">
        <v>101</v>
      </c>
      <c r="B14" s="18" t="s">
        <v>24</v>
      </c>
      <c r="C14" s="18" t="s">
        <v>108</v>
      </c>
      <c r="D14" s="19">
        <v>3.43</v>
      </c>
      <c r="E14" s="18" t="s">
        <v>42</v>
      </c>
      <c r="F14" s="20" t="s">
        <v>109</v>
      </c>
      <c r="G14" s="14"/>
      <c r="H14" s="14"/>
      <c r="I14" s="6"/>
      <c r="J14" s="6"/>
      <c r="K14" s="6"/>
      <c r="L14" s="6"/>
      <c r="M14" s="6"/>
      <c r="N14" s="6"/>
      <c r="O14" s="6"/>
    </row>
    <row r="15">
      <c r="A15" s="18" t="s">
        <v>101</v>
      </c>
      <c r="B15" s="18" t="s">
        <v>26</v>
      </c>
      <c r="C15" s="18" t="s">
        <v>110</v>
      </c>
      <c r="D15" s="19">
        <v>2.56</v>
      </c>
      <c r="E15" s="18" t="s">
        <v>111</v>
      </c>
      <c r="F15" s="20" t="s">
        <v>112</v>
      </c>
      <c r="G15" s="14"/>
      <c r="H15" s="14"/>
      <c r="I15" s="6"/>
      <c r="J15" s="6"/>
      <c r="K15" s="6"/>
      <c r="L15" s="6"/>
      <c r="M15" s="6"/>
      <c r="N15" s="6"/>
      <c r="O15" s="6"/>
    </row>
    <row r="16">
      <c r="A16" s="18" t="s">
        <v>101</v>
      </c>
      <c r="B16" s="18" t="s">
        <v>113</v>
      </c>
      <c r="C16" s="18" t="s">
        <v>114</v>
      </c>
      <c r="D16" s="19">
        <v>3.78</v>
      </c>
      <c r="E16" s="18" t="s">
        <v>115</v>
      </c>
      <c r="F16" s="20" t="s">
        <v>116</v>
      </c>
      <c r="G16" s="14"/>
      <c r="H16" s="14"/>
      <c r="I16" s="6"/>
      <c r="J16" s="6"/>
      <c r="K16" s="6"/>
      <c r="L16" s="6"/>
      <c r="M16" s="6"/>
      <c r="N16" s="6"/>
      <c r="O16" s="6"/>
    </row>
    <row r="17">
      <c r="A17" s="21" t="s">
        <v>30</v>
      </c>
      <c r="B17" s="21" t="s">
        <v>7</v>
      </c>
      <c r="C17" s="21" t="s">
        <v>49</v>
      </c>
      <c r="D17" s="22">
        <v>1.29</v>
      </c>
      <c r="E17" s="21" t="s">
        <v>117</v>
      </c>
      <c r="F17" s="13" t="s">
        <v>118</v>
      </c>
      <c r="G17" s="14"/>
      <c r="H17" s="14"/>
      <c r="I17" s="6"/>
      <c r="J17" s="6"/>
      <c r="K17" s="6"/>
      <c r="L17" s="6"/>
      <c r="M17" s="6"/>
      <c r="N17" s="6"/>
      <c r="O17" s="6"/>
    </row>
    <row r="18">
      <c r="A18" s="21" t="s">
        <v>30</v>
      </c>
      <c r="B18" s="21" t="s">
        <v>53</v>
      </c>
      <c r="C18" s="21" t="s">
        <v>119</v>
      </c>
      <c r="D18" s="22">
        <v>0.97</v>
      </c>
      <c r="E18" s="21" t="s">
        <v>42</v>
      </c>
      <c r="F18" s="13" t="s">
        <v>120</v>
      </c>
      <c r="G18" s="14"/>
      <c r="H18" s="14"/>
      <c r="I18" s="6"/>
      <c r="J18" s="6"/>
      <c r="K18" s="6"/>
      <c r="L18" s="6"/>
      <c r="M18" s="6"/>
      <c r="N18" s="6"/>
      <c r="O18" s="6"/>
    </row>
    <row r="19">
      <c r="A19" s="21" t="s">
        <v>30</v>
      </c>
      <c r="B19" s="21" t="s">
        <v>9</v>
      </c>
      <c r="C19" s="21" t="s">
        <v>121</v>
      </c>
      <c r="D19" s="22">
        <v>3.04</v>
      </c>
      <c r="E19" s="21" t="s">
        <v>42</v>
      </c>
      <c r="F19" s="13" t="s">
        <v>122</v>
      </c>
      <c r="G19" s="14"/>
      <c r="H19" s="14"/>
      <c r="I19" s="6"/>
      <c r="J19" s="6"/>
      <c r="K19" s="6"/>
      <c r="L19" s="6"/>
      <c r="M19" s="6"/>
      <c r="N19" s="6"/>
      <c r="O19" s="6"/>
    </row>
    <row r="20">
      <c r="A20" s="21" t="s">
        <v>30</v>
      </c>
      <c r="B20" s="21" t="s">
        <v>123</v>
      </c>
      <c r="C20" s="21" t="s">
        <v>124</v>
      </c>
      <c r="D20" s="22">
        <v>2.2</v>
      </c>
      <c r="E20" s="21" t="s">
        <v>111</v>
      </c>
      <c r="F20" s="13" t="s">
        <v>125</v>
      </c>
      <c r="G20" s="14"/>
      <c r="H20" s="14"/>
      <c r="I20" s="6"/>
      <c r="J20" s="6"/>
      <c r="K20" s="6"/>
      <c r="L20" s="6"/>
      <c r="M20" s="6"/>
      <c r="N20" s="6"/>
      <c r="O20" s="6"/>
    </row>
    <row r="21">
      <c r="A21" s="21" t="s">
        <v>30</v>
      </c>
      <c r="B21" s="21" t="s">
        <v>81</v>
      </c>
      <c r="C21" s="21" t="s">
        <v>126</v>
      </c>
      <c r="D21" s="22">
        <v>1.19</v>
      </c>
      <c r="E21" s="21" t="s">
        <v>127</v>
      </c>
      <c r="F21" s="13" t="s">
        <v>128</v>
      </c>
      <c r="G21" s="14"/>
      <c r="H21" s="14"/>
      <c r="I21" s="6"/>
      <c r="J21" s="6"/>
      <c r="K21" s="6"/>
      <c r="L21" s="6"/>
      <c r="M21" s="6"/>
      <c r="N21" s="6"/>
      <c r="O21" s="6"/>
    </row>
    <row r="22">
      <c r="A22" s="21" t="s">
        <v>30</v>
      </c>
      <c r="B22" s="21" t="s">
        <v>86</v>
      </c>
      <c r="C22" s="21" t="s">
        <v>129</v>
      </c>
      <c r="D22" s="22">
        <v>1.81</v>
      </c>
      <c r="E22" s="21" t="s">
        <v>42</v>
      </c>
      <c r="F22" s="13" t="s">
        <v>130</v>
      </c>
      <c r="G22" s="14"/>
      <c r="H22" s="14"/>
      <c r="I22" s="6"/>
      <c r="J22" s="6"/>
      <c r="K22" s="6"/>
      <c r="L22" s="6"/>
      <c r="M22" s="6"/>
      <c r="N22" s="6"/>
      <c r="O22" s="6"/>
    </row>
    <row r="23">
      <c r="A23" s="23" t="s">
        <v>57</v>
      </c>
      <c r="B23" s="23" t="s">
        <v>7</v>
      </c>
      <c r="C23" s="23" t="s">
        <v>51</v>
      </c>
      <c r="D23" s="24">
        <v>8.03</v>
      </c>
      <c r="E23" s="23" t="s">
        <v>42</v>
      </c>
      <c r="F23" s="20" t="s">
        <v>131</v>
      </c>
      <c r="G23" s="14"/>
      <c r="H23" s="14"/>
      <c r="I23" s="6"/>
      <c r="J23" s="6"/>
      <c r="K23" s="6"/>
      <c r="L23" s="6"/>
      <c r="M23" s="6"/>
      <c r="N23" s="6"/>
      <c r="O23" s="6"/>
    </row>
    <row r="24">
      <c r="A24" s="23" t="s">
        <v>57</v>
      </c>
      <c r="B24" s="23" t="s">
        <v>13</v>
      </c>
      <c r="C24" s="23" t="s">
        <v>132</v>
      </c>
      <c r="D24" s="24">
        <v>5.14</v>
      </c>
      <c r="E24" s="23" t="s">
        <v>42</v>
      </c>
      <c r="F24" s="20" t="s">
        <v>133</v>
      </c>
      <c r="G24" s="14"/>
      <c r="H24" s="14"/>
      <c r="I24" s="6"/>
      <c r="J24" s="6"/>
      <c r="K24" s="6"/>
      <c r="L24" s="6"/>
      <c r="M24" s="6"/>
      <c r="N24" s="6"/>
      <c r="O24" s="6"/>
    </row>
    <row r="25">
      <c r="A25" s="23" t="s">
        <v>57</v>
      </c>
      <c r="B25" s="23" t="s">
        <v>86</v>
      </c>
      <c r="C25" s="23" t="s">
        <v>134</v>
      </c>
      <c r="D25" s="24">
        <v>3.44</v>
      </c>
      <c r="E25" s="23" t="s">
        <v>42</v>
      </c>
      <c r="F25" s="20" t="s">
        <v>135</v>
      </c>
      <c r="G25" s="14"/>
      <c r="H25" s="14"/>
      <c r="I25" s="6"/>
      <c r="J25" s="6"/>
      <c r="K25" s="6"/>
      <c r="L25" s="6"/>
      <c r="M25" s="6"/>
      <c r="N25" s="6"/>
      <c r="O25" s="6"/>
    </row>
    <row r="26">
      <c r="A26" s="23" t="s">
        <v>57</v>
      </c>
      <c r="B26" s="23" t="s">
        <v>9</v>
      </c>
      <c r="C26" s="23" t="s">
        <v>136</v>
      </c>
      <c r="D26" s="24">
        <v>9.33</v>
      </c>
      <c r="E26" s="23" t="s">
        <v>111</v>
      </c>
      <c r="F26" s="20" t="s">
        <v>137</v>
      </c>
      <c r="G26" s="14"/>
      <c r="H26" s="14"/>
      <c r="I26" s="6"/>
      <c r="J26" s="6"/>
      <c r="K26" s="6"/>
      <c r="L26" s="6"/>
      <c r="M26" s="6"/>
      <c r="N26" s="6"/>
      <c r="O26" s="6"/>
    </row>
    <row r="27">
      <c r="A27" s="23" t="s">
        <v>57</v>
      </c>
      <c r="B27" s="23" t="s">
        <v>123</v>
      </c>
      <c r="C27" s="23" t="s">
        <v>138</v>
      </c>
      <c r="D27" s="24">
        <v>5.26</v>
      </c>
      <c r="E27" s="23" t="s">
        <v>42</v>
      </c>
      <c r="F27" s="20" t="s">
        <v>139</v>
      </c>
      <c r="G27" s="14"/>
      <c r="H27" s="14"/>
      <c r="I27" s="6"/>
      <c r="J27" s="6"/>
      <c r="K27" s="6"/>
      <c r="L27" s="6"/>
      <c r="M27" s="6"/>
      <c r="N27" s="6"/>
      <c r="O27" s="6"/>
    </row>
    <row r="28">
      <c r="A28" s="23" t="s">
        <v>57</v>
      </c>
      <c r="B28" s="23" t="s">
        <v>140</v>
      </c>
      <c r="C28" s="23" t="s">
        <v>141</v>
      </c>
      <c r="D28" s="24">
        <v>8.4</v>
      </c>
      <c r="E28" s="23" t="s">
        <v>42</v>
      </c>
      <c r="F28" s="20" t="s">
        <v>142</v>
      </c>
      <c r="G28" s="14"/>
      <c r="H28" s="14"/>
      <c r="I28" s="6"/>
      <c r="J28" s="6"/>
      <c r="K28" s="6"/>
      <c r="L28" s="6"/>
      <c r="M28" s="6"/>
      <c r="N28" s="6"/>
      <c r="O28" s="6"/>
    </row>
    <row r="29">
      <c r="A29" s="25" t="s">
        <v>143</v>
      </c>
      <c r="B29" s="25" t="s">
        <v>7</v>
      </c>
      <c r="C29" s="25" t="s">
        <v>43</v>
      </c>
      <c r="D29" s="26">
        <v>8.21</v>
      </c>
      <c r="E29" s="25" t="s">
        <v>111</v>
      </c>
      <c r="F29" s="27" t="s">
        <v>144</v>
      </c>
      <c r="G29" s="28"/>
      <c r="H29" s="28"/>
    </row>
    <row r="30">
      <c r="A30" s="25" t="s">
        <v>143</v>
      </c>
      <c r="B30" s="25" t="s">
        <v>97</v>
      </c>
      <c r="C30" s="25" t="s">
        <v>145</v>
      </c>
      <c r="D30" s="26">
        <v>16.27</v>
      </c>
      <c r="E30" s="25" t="s">
        <v>42</v>
      </c>
      <c r="F30" s="27" t="s">
        <v>146</v>
      </c>
      <c r="G30" s="28"/>
      <c r="H30" s="28"/>
    </row>
    <row r="31">
      <c r="A31" s="25" t="s">
        <v>143</v>
      </c>
      <c r="B31" s="25" t="s">
        <v>81</v>
      </c>
      <c r="C31" s="25" t="s">
        <v>147</v>
      </c>
      <c r="D31" s="26">
        <v>21.28</v>
      </c>
      <c r="E31" s="25" t="s">
        <v>111</v>
      </c>
      <c r="F31" s="27" t="s">
        <v>148</v>
      </c>
      <c r="G31" s="28"/>
      <c r="H31" s="28"/>
    </row>
    <row r="32">
      <c r="A32" s="25" t="s">
        <v>143</v>
      </c>
      <c r="B32" s="25" t="s">
        <v>13</v>
      </c>
      <c r="C32" s="25" t="s">
        <v>149</v>
      </c>
      <c r="D32" s="26">
        <v>20.42</v>
      </c>
      <c r="E32" s="25" t="s">
        <v>42</v>
      </c>
      <c r="F32" s="29" t="s">
        <v>150</v>
      </c>
      <c r="G32" s="28"/>
      <c r="H32" s="28"/>
    </row>
    <row r="33">
      <c r="A33" s="25" t="s">
        <v>143</v>
      </c>
      <c r="B33" s="25" t="s">
        <v>86</v>
      </c>
      <c r="C33" s="25" t="s">
        <v>151</v>
      </c>
      <c r="D33" s="26">
        <v>26.06</v>
      </c>
      <c r="E33" s="25" t="s">
        <v>42</v>
      </c>
      <c r="F33" s="29" t="s">
        <v>152</v>
      </c>
      <c r="G33" s="28"/>
      <c r="H33" s="28"/>
    </row>
    <row r="34">
      <c r="A34" s="25" t="s">
        <v>143</v>
      </c>
      <c r="B34" s="25" t="s">
        <v>53</v>
      </c>
      <c r="C34" s="25" t="s">
        <v>153</v>
      </c>
      <c r="D34" s="26">
        <v>2.88</v>
      </c>
      <c r="E34" s="25" t="s">
        <v>42</v>
      </c>
      <c r="F34" s="29" t="s">
        <v>154</v>
      </c>
      <c r="G34" s="28"/>
      <c r="H34" s="28"/>
    </row>
    <row r="35">
      <c r="B35" s="10" t="s">
        <v>155</v>
      </c>
      <c r="F35" s="2"/>
    </row>
    <row r="36">
      <c r="B36" s="30" t="s">
        <v>39</v>
      </c>
      <c r="C36" s="31">
        <f>SUM(D5:D10)/6</f>
        <v>15.94166667</v>
      </c>
      <c r="D36" s="30">
        <v>6.0</v>
      </c>
      <c r="F36" s="2"/>
    </row>
    <row r="37">
      <c r="B37" s="28" t="s">
        <v>101</v>
      </c>
      <c r="C37" s="32">
        <v>3.42</v>
      </c>
      <c r="D37" s="28">
        <v>6.0</v>
      </c>
      <c r="F37" s="2"/>
    </row>
    <row r="38">
      <c r="B38" s="30" t="s">
        <v>30</v>
      </c>
      <c r="C38" s="31">
        <v>1.75</v>
      </c>
      <c r="D38" s="30">
        <v>6.0</v>
      </c>
      <c r="F38" s="2"/>
    </row>
    <row r="39">
      <c r="B39" s="28" t="s">
        <v>57</v>
      </c>
      <c r="C39" s="32">
        <v>6.6</v>
      </c>
      <c r="D39" s="28">
        <v>6.0</v>
      </c>
      <c r="F39" s="2"/>
    </row>
    <row r="40">
      <c r="B40" s="30" t="s">
        <v>156</v>
      </c>
      <c r="C40" s="31">
        <v>17.35</v>
      </c>
      <c r="D40" s="30">
        <v>6.0</v>
      </c>
      <c r="F40" s="2"/>
    </row>
    <row r="41">
      <c r="B41" s="28" t="s">
        <v>157</v>
      </c>
      <c r="C41" s="33">
        <f>SUM(D29:D34)/6</f>
        <v>15.85333333</v>
      </c>
      <c r="D41" s="28">
        <v>6.0</v>
      </c>
      <c r="F41" s="2"/>
    </row>
    <row r="42">
      <c r="B42" s="25"/>
      <c r="C42" s="25"/>
      <c r="D42" s="25"/>
      <c r="F42" s="2"/>
    </row>
    <row r="43">
      <c r="B43" s="25"/>
      <c r="C43" s="25"/>
      <c r="D43" s="25"/>
      <c r="F43" s="2"/>
    </row>
    <row r="44">
      <c r="B44" s="25"/>
      <c r="C44" s="25"/>
      <c r="D44" s="25"/>
      <c r="F44" s="2"/>
    </row>
    <row r="45">
      <c r="F45" s="2"/>
    </row>
    <row r="46">
      <c r="F46" s="2"/>
    </row>
    <row r="47">
      <c r="F47" s="2"/>
    </row>
    <row r="48">
      <c r="F48" s="2"/>
    </row>
    <row r="49">
      <c r="F49" s="2"/>
    </row>
    <row r="50">
      <c r="F50" s="2"/>
    </row>
    <row r="51">
      <c r="F51" s="2"/>
    </row>
    <row r="52">
      <c r="F52" s="2"/>
    </row>
    <row r="53">
      <c r="F53" s="2"/>
    </row>
    <row r="54">
      <c r="F54" s="2"/>
    </row>
    <row r="55">
      <c r="F55" s="2"/>
    </row>
    <row r="56">
      <c r="F56" s="2"/>
    </row>
    <row r="57">
      <c r="F57" s="2"/>
    </row>
    <row r="58">
      <c r="F58" s="2"/>
    </row>
    <row r="59">
      <c r="F59" s="2"/>
    </row>
    <row r="60">
      <c r="F60" s="2"/>
    </row>
    <row r="61">
      <c r="F61" s="2"/>
    </row>
    <row r="62">
      <c r="F62" s="2"/>
    </row>
    <row r="63">
      <c r="F63" s="2"/>
    </row>
    <row r="64">
      <c r="F64" s="2"/>
    </row>
    <row r="65">
      <c r="F65" s="2"/>
    </row>
    <row r="66">
      <c r="F66" s="2"/>
    </row>
    <row r="67">
      <c r="F67" s="2"/>
    </row>
    <row r="68">
      <c r="F68" s="2"/>
    </row>
    <row r="69">
      <c r="F69" s="2"/>
    </row>
    <row r="70">
      <c r="F70" s="2"/>
    </row>
    <row r="71">
      <c r="F71" s="2"/>
    </row>
    <row r="72">
      <c r="F72" s="2"/>
    </row>
    <row r="73">
      <c r="F73" s="2"/>
    </row>
    <row r="74">
      <c r="F74" s="2"/>
    </row>
    <row r="75">
      <c r="F75" s="2"/>
    </row>
    <row r="76">
      <c r="F76" s="2"/>
    </row>
    <row r="77">
      <c r="F77" s="2"/>
    </row>
    <row r="78">
      <c r="F78" s="2"/>
    </row>
    <row r="79">
      <c r="F79" s="2"/>
    </row>
    <row r="80">
      <c r="F80" s="2"/>
    </row>
    <row r="81">
      <c r="F81" s="2"/>
    </row>
    <row r="82">
      <c r="F82" s="2"/>
    </row>
    <row r="83">
      <c r="F83" s="2"/>
    </row>
    <row r="84">
      <c r="F84" s="2"/>
    </row>
    <row r="85">
      <c r="F85" s="2"/>
    </row>
    <row r="86">
      <c r="F86" s="2"/>
    </row>
    <row r="87">
      <c r="F87" s="2"/>
    </row>
    <row r="88">
      <c r="F88" s="2"/>
    </row>
    <row r="89">
      <c r="F89" s="2"/>
    </row>
    <row r="90">
      <c r="F90" s="2"/>
    </row>
    <row r="91">
      <c r="F91" s="2"/>
    </row>
    <row r="92">
      <c r="F92" s="2"/>
    </row>
    <row r="93">
      <c r="F93" s="2"/>
    </row>
    <row r="94">
      <c r="F94" s="2"/>
    </row>
    <row r="95">
      <c r="F95" s="2"/>
    </row>
    <row r="96">
      <c r="F96" s="2"/>
    </row>
    <row r="97">
      <c r="F97" s="2"/>
    </row>
    <row r="98">
      <c r="F98" s="2"/>
    </row>
    <row r="99">
      <c r="F99" s="2"/>
    </row>
    <row r="100">
      <c r="F100" s="2"/>
    </row>
    <row r="101">
      <c r="F101" s="2"/>
    </row>
    <row r="102">
      <c r="F102" s="2"/>
    </row>
    <row r="103">
      <c r="F103" s="2"/>
    </row>
    <row r="104">
      <c r="F104" s="2"/>
    </row>
    <row r="105">
      <c r="F105" s="2"/>
    </row>
    <row r="106">
      <c r="F106" s="2"/>
    </row>
    <row r="107">
      <c r="F107" s="2"/>
    </row>
    <row r="108">
      <c r="F108" s="2"/>
    </row>
    <row r="109">
      <c r="F109" s="2"/>
    </row>
    <row r="110">
      <c r="F110" s="2"/>
    </row>
    <row r="111">
      <c r="F111" s="2"/>
    </row>
    <row r="112">
      <c r="F112" s="2"/>
    </row>
    <row r="113">
      <c r="F113" s="2"/>
    </row>
    <row r="114">
      <c r="F114" s="2"/>
    </row>
    <row r="115">
      <c r="F115" s="2"/>
    </row>
    <row r="116">
      <c r="F116" s="2"/>
    </row>
    <row r="117">
      <c r="F117" s="2"/>
    </row>
    <row r="118">
      <c r="F118" s="2"/>
    </row>
    <row r="119">
      <c r="F119" s="2"/>
    </row>
    <row r="120">
      <c r="F120" s="2"/>
    </row>
    <row r="121">
      <c r="F121" s="2"/>
    </row>
    <row r="122">
      <c r="F122" s="2"/>
    </row>
    <row r="123">
      <c r="F123" s="2"/>
    </row>
    <row r="124">
      <c r="F124" s="2"/>
    </row>
    <row r="125">
      <c r="F125" s="2"/>
    </row>
    <row r="126">
      <c r="F126" s="2"/>
    </row>
    <row r="127">
      <c r="F127" s="2"/>
    </row>
    <row r="128">
      <c r="F128" s="2"/>
    </row>
    <row r="129">
      <c r="F129" s="2"/>
    </row>
    <row r="130">
      <c r="F130" s="2"/>
    </row>
    <row r="131">
      <c r="F131" s="2"/>
    </row>
    <row r="132">
      <c r="F132" s="2"/>
    </row>
    <row r="133">
      <c r="F133" s="2"/>
    </row>
    <row r="134">
      <c r="F134" s="2"/>
    </row>
    <row r="135">
      <c r="F135" s="2"/>
    </row>
    <row r="136">
      <c r="F136" s="2"/>
    </row>
    <row r="137">
      <c r="F137" s="2"/>
    </row>
    <row r="138">
      <c r="F138" s="2"/>
    </row>
    <row r="139">
      <c r="F139" s="2"/>
    </row>
    <row r="140">
      <c r="F140" s="2"/>
    </row>
    <row r="141">
      <c r="F141" s="2"/>
    </row>
    <row r="142">
      <c r="F142" s="2"/>
    </row>
    <row r="143">
      <c r="F143" s="2"/>
    </row>
    <row r="144">
      <c r="F144" s="2"/>
    </row>
    <row r="145">
      <c r="F145" s="2"/>
    </row>
    <row r="146">
      <c r="F146" s="2"/>
    </row>
    <row r="147">
      <c r="F147" s="2"/>
    </row>
    <row r="148">
      <c r="F148" s="2"/>
    </row>
    <row r="149">
      <c r="F149" s="2"/>
    </row>
    <row r="150">
      <c r="F150" s="2"/>
    </row>
    <row r="151">
      <c r="F151" s="2"/>
    </row>
    <row r="152">
      <c r="F152" s="2"/>
    </row>
    <row r="153">
      <c r="F153" s="2"/>
    </row>
    <row r="154">
      <c r="F154" s="2"/>
    </row>
    <row r="155">
      <c r="F155" s="2"/>
    </row>
    <row r="156">
      <c r="F156" s="2"/>
    </row>
    <row r="157">
      <c r="F157" s="2"/>
    </row>
    <row r="158">
      <c r="F158" s="2"/>
    </row>
    <row r="159">
      <c r="F159" s="2"/>
    </row>
    <row r="160">
      <c r="F160" s="2"/>
    </row>
    <row r="161">
      <c r="F161" s="2"/>
    </row>
    <row r="162">
      <c r="F162" s="2"/>
    </row>
    <row r="163">
      <c r="F163" s="2"/>
    </row>
    <row r="164">
      <c r="F164" s="2"/>
    </row>
    <row r="165">
      <c r="F165" s="2"/>
    </row>
    <row r="166">
      <c r="F166" s="2"/>
    </row>
    <row r="167">
      <c r="F167" s="2"/>
    </row>
    <row r="168">
      <c r="F168" s="2"/>
    </row>
    <row r="169">
      <c r="F169" s="2"/>
    </row>
    <row r="170">
      <c r="F170" s="2"/>
    </row>
    <row r="171">
      <c r="F171" s="2"/>
    </row>
    <row r="172">
      <c r="F172" s="2"/>
    </row>
    <row r="173">
      <c r="F173" s="2"/>
    </row>
    <row r="174">
      <c r="F174" s="2"/>
    </row>
    <row r="175">
      <c r="F175" s="2"/>
    </row>
    <row r="176">
      <c r="F176" s="2"/>
    </row>
    <row r="177">
      <c r="F177" s="2"/>
    </row>
    <row r="178">
      <c r="F178" s="2"/>
    </row>
    <row r="179">
      <c r="F179" s="2"/>
    </row>
    <row r="180">
      <c r="F180" s="2"/>
    </row>
    <row r="181">
      <c r="F181" s="2"/>
    </row>
    <row r="182">
      <c r="F182" s="2"/>
    </row>
    <row r="183">
      <c r="F183" s="2"/>
    </row>
    <row r="184">
      <c r="F184" s="2"/>
    </row>
    <row r="185">
      <c r="F185" s="2"/>
    </row>
    <row r="186">
      <c r="F186" s="2"/>
    </row>
    <row r="187">
      <c r="F187" s="2"/>
    </row>
    <row r="188">
      <c r="F188" s="2"/>
    </row>
    <row r="189">
      <c r="F189" s="2"/>
    </row>
    <row r="190">
      <c r="F190" s="2"/>
    </row>
    <row r="191">
      <c r="F191" s="2"/>
    </row>
    <row r="192">
      <c r="F192" s="2"/>
    </row>
    <row r="193">
      <c r="F193" s="2"/>
    </row>
    <row r="194">
      <c r="F194" s="2"/>
    </row>
    <row r="195">
      <c r="F195" s="2"/>
    </row>
    <row r="196">
      <c r="F196" s="2"/>
    </row>
    <row r="197">
      <c r="F197" s="2"/>
    </row>
    <row r="198">
      <c r="F198" s="2"/>
    </row>
    <row r="199">
      <c r="F199" s="2"/>
    </row>
    <row r="200">
      <c r="F200" s="2"/>
    </row>
    <row r="201">
      <c r="F201" s="2"/>
    </row>
    <row r="202">
      <c r="F202" s="2"/>
    </row>
    <row r="203">
      <c r="F203" s="2"/>
    </row>
    <row r="204">
      <c r="F204" s="2"/>
    </row>
    <row r="205">
      <c r="F205" s="2"/>
    </row>
    <row r="206">
      <c r="F206" s="2"/>
    </row>
    <row r="207">
      <c r="F207" s="2"/>
    </row>
    <row r="208">
      <c r="F208" s="2"/>
    </row>
    <row r="209">
      <c r="F209" s="2"/>
    </row>
    <row r="210">
      <c r="F210" s="2"/>
    </row>
    <row r="211">
      <c r="F211" s="2"/>
    </row>
    <row r="212">
      <c r="F212" s="2"/>
    </row>
    <row r="213">
      <c r="F213" s="2"/>
    </row>
    <row r="214">
      <c r="F214" s="2"/>
    </row>
    <row r="215">
      <c r="F215" s="2"/>
    </row>
    <row r="216">
      <c r="F216" s="2"/>
    </row>
    <row r="217">
      <c r="F217" s="2"/>
    </row>
    <row r="218">
      <c r="F218" s="2"/>
    </row>
    <row r="219">
      <c r="F219" s="2"/>
    </row>
    <row r="220">
      <c r="F220" s="2"/>
    </row>
    <row r="221">
      <c r="F221" s="2"/>
    </row>
    <row r="222">
      <c r="F222" s="2"/>
    </row>
    <row r="223">
      <c r="F223" s="2"/>
    </row>
    <row r="224">
      <c r="F224" s="2"/>
    </row>
    <row r="225">
      <c r="F225" s="2"/>
    </row>
    <row r="226">
      <c r="F226" s="2"/>
    </row>
    <row r="227">
      <c r="F227" s="2"/>
    </row>
    <row r="228">
      <c r="F228" s="2"/>
    </row>
    <row r="229">
      <c r="F229" s="2"/>
    </row>
    <row r="230">
      <c r="F230" s="2"/>
    </row>
    <row r="231">
      <c r="F231" s="2"/>
    </row>
    <row r="232">
      <c r="F232" s="2"/>
    </row>
    <row r="233">
      <c r="F233" s="2"/>
    </row>
    <row r="234">
      <c r="F234" s="2"/>
    </row>
    <row r="235">
      <c r="F235" s="2"/>
    </row>
    <row r="236">
      <c r="F236" s="2"/>
    </row>
    <row r="237">
      <c r="F237" s="2"/>
    </row>
    <row r="238">
      <c r="F238" s="2"/>
    </row>
    <row r="239">
      <c r="F239" s="2"/>
    </row>
    <row r="240">
      <c r="F240" s="2"/>
    </row>
    <row r="241">
      <c r="F241" s="2"/>
    </row>
    <row r="242">
      <c r="F242" s="2"/>
    </row>
    <row r="243">
      <c r="F243" s="2"/>
    </row>
    <row r="244">
      <c r="F244" s="2"/>
    </row>
    <row r="245">
      <c r="F245" s="2"/>
    </row>
    <row r="246">
      <c r="F246" s="2"/>
    </row>
    <row r="247">
      <c r="F247" s="2"/>
    </row>
    <row r="248">
      <c r="F248" s="2"/>
    </row>
    <row r="249">
      <c r="F249" s="2"/>
    </row>
    <row r="250">
      <c r="F250" s="2"/>
    </row>
    <row r="251">
      <c r="F251" s="2"/>
    </row>
    <row r="252">
      <c r="F252" s="2"/>
    </row>
    <row r="253">
      <c r="F253" s="2"/>
    </row>
    <row r="254">
      <c r="F254" s="2"/>
    </row>
    <row r="255">
      <c r="F255" s="2"/>
    </row>
    <row r="256">
      <c r="F256" s="2"/>
    </row>
    <row r="257">
      <c r="F257" s="2"/>
    </row>
    <row r="258">
      <c r="F258" s="2"/>
    </row>
    <row r="259">
      <c r="F259" s="2"/>
    </row>
    <row r="260">
      <c r="F260" s="2"/>
    </row>
    <row r="261">
      <c r="F261" s="2"/>
    </row>
    <row r="262">
      <c r="F262" s="2"/>
    </row>
    <row r="263">
      <c r="F263" s="2"/>
    </row>
    <row r="264">
      <c r="F264" s="2"/>
    </row>
    <row r="265">
      <c r="F265" s="2"/>
    </row>
    <row r="266">
      <c r="F266" s="2"/>
    </row>
    <row r="267">
      <c r="F267" s="2"/>
    </row>
    <row r="268">
      <c r="F268" s="2"/>
    </row>
    <row r="269">
      <c r="F269" s="2"/>
    </row>
    <row r="270">
      <c r="F270" s="2"/>
    </row>
    <row r="271">
      <c r="F271" s="2"/>
    </row>
    <row r="272">
      <c r="F272" s="2"/>
    </row>
    <row r="273">
      <c r="F273" s="2"/>
    </row>
    <row r="274">
      <c r="F274" s="2"/>
    </row>
    <row r="275">
      <c r="F275" s="2"/>
    </row>
    <row r="276">
      <c r="F276" s="2"/>
    </row>
    <row r="277">
      <c r="F277" s="2"/>
    </row>
    <row r="278">
      <c r="F278" s="2"/>
    </row>
    <row r="279">
      <c r="F279" s="2"/>
    </row>
    <row r="280">
      <c r="F280" s="2"/>
    </row>
    <row r="281">
      <c r="F281" s="2"/>
    </row>
    <row r="282">
      <c r="F282" s="2"/>
    </row>
    <row r="283">
      <c r="F283" s="2"/>
    </row>
    <row r="284">
      <c r="F284" s="2"/>
    </row>
    <row r="285">
      <c r="F285" s="2"/>
    </row>
    <row r="286">
      <c r="F286" s="2"/>
    </row>
    <row r="287">
      <c r="F287" s="2"/>
    </row>
    <row r="288">
      <c r="F288" s="2"/>
    </row>
    <row r="289">
      <c r="F289" s="2"/>
    </row>
    <row r="290">
      <c r="F290" s="2"/>
    </row>
    <row r="291">
      <c r="F291" s="2"/>
    </row>
    <row r="292">
      <c r="F292" s="2"/>
    </row>
    <row r="293">
      <c r="F293" s="2"/>
    </row>
    <row r="294">
      <c r="F294" s="2"/>
    </row>
    <row r="295">
      <c r="F295" s="2"/>
    </row>
    <row r="296">
      <c r="F296" s="2"/>
    </row>
    <row r="297">
      <c r="F297" s="2"/>
    </row>
    <row r="298">
      <c r="F298" s="2"/>
    </row>
    <row r="299">
      <c r="F299" s="2"/>
    </row>
    <row r="300">
      <c r="F300" s="2"/>
    </row>
    <row r="301">
      <c r="F301" s="2"/>
    </row>
    <row r="302">
      <c r="F302" s="2"/>
    </row>
    <row r="303">
      <c r="F303" s="2"/>
    </row>
    <row r="304">
      <c r="F304" s="2"/>
    </row>
    <row r="305">
      <c r="F305" s="2"/>
    </row>
    <row r="306">
      <c r="F306" s="2"/>
    </row>
    <row r="307">
      <c r="F307" s="2"/>
    </row>
    <row r="308">
      <c r="F308" s="2"/>
    </row>
    <row r="309">
      <c r="F309" s="2"/>
    </row>
    <row r="310">
      <c r="F310" s="2"/>
    </row>
    <row r="311">
      <c r="F311" s="2"/>
    </row>
    <row r="312">
      <c r="F312" s="2"/>
    </row>
    <row r="313">
      <c r="F313" s="2"/>
    </row>
    <row r="314">
      <c r="F314" s="2"/>
    </row>
    <row r="315">
      <c r="F315" s="2"/>
    </row>
    <row r="316">
      <c r="F316" s="2"/>
    </row>
    <row r="317">
      <c r="F317" s="2"/>
    </row>
    <row r="318">
      <c r="F318" s="2"/>
    </row>
    <row r="319">
      <c r="F319" s="2"/>
    </row>
    <row r="320">
      <c r="F320" s="2"/>
    </row>
    <row r="321">
      <c r="F321" s="2"/>
    </row>
    <row r="322">
      <c r="F322" s="2"/>
    </row>
    <row r="323">
      <c r="F323" s="2"/>
    </row>
    <row r="324">
      <c r="F324" s="2"/>
    </row>
    <row r="325">
      <c r="F325" s="2"/>
    </row>
    <row r="326">
      <c r="F326" s="2"/>
    </row>
    <row r="327">
      <c r="F327" s="2"/>
    </row>
    <row r="328">
      <c r="F328" s="2"/>
    </row>
    <row r="329">
      <c r="F329" s="2"/>
    </row>
    <row r="330">
      <c r="F330" s="2"/>
    </row>
    <row r="331">
      <c r="F331" s="2"/>
    </row>
    <row r="332">
      <c r="F332" s="2"/>
    </row>
    <row r="333">
      <c r="F333" s="2"/>
    </row>
    <row r="334">
      <c r="F334" s="2"/>
    </row>
    <row r="335">
      <c r="F335" s="2"/>
    </row>
    <row r="336">
      <c r="F336" s="2"/>
    </row>
    <row r="337">
      <c r="F337" s="2"/>
    </row>
    <row r="338">
      <c r="F338" s="2"/>
    </row>
    <row r="339">
      <c r="F339" s="2"/>
    </row>
    <row r="340">
      <c r="F340" s="2"/>
    </row>
    <row r="341">
      <c r="F341" s="2"/>
    </row>
    <row r="342">
      <c r="F342" s="2"/>
    </row>
    <row r="343">
      <c r="F343" s="2"/>
    </row>
    <row r="344">
      <c r="F344" s="2"/>
    </row>
    <row r="345">
      <c r="F345" s="2"/>
    </row>
    <row r="346">
      <c r="F346" s="2"/>
    </row>
    <row r="347">
      <c r="F347" s="2"/>
    </row>
    <row r="348">
      <c r="F348" s="2"/>
    </row>
    <row r="349">
      <c r="F349" s="2"/>
    </row>
    <row r="350">
      <c r="F350" s="2"/>
    </row>
    <row r="351">
      <c r="F351" s="2"/>
    </row>
    <row r="352">
      <c r="F352" s="2"/>
    </row>
    <row r="353">
      <c r="F353" s="2"/>
    </row>
    <row r="354">
      <c r="F354" s="2"/>
    </row>
    <row r="355">
      <c r="F355" s="2"/>
    </row>
    <row r="356">
      <c r="F356" s="2"/>
    </row>
    <row r="357">
      <c r="F357" s="2"/>
    </row>
    <row r="358">
      <c r="F358" s="2"/>
    </row>
    <row r="359">
      <c r="F359" s="2"/>
    </row>
    <row r="360">
      <c r="F360" s="2"/>
    </row>
    <row r="361">
      <c r="F361" s="2"/>
    </row>
    <row r="362">
      <c r="F362" s="2"/>
    </row>
    <row r="363">
      <c r="F363" s="2"/>
    </row>
    <row r="364">
      <c r="F364" s="2"/>
    </row>
    <row r="365">
      <c r="F365" s="2"/>
    </row>
    <row r="366">
      <c r="F366" s="2"/>
    </row>
    <row r="367">
      <c r="F367" s="2"/>
    </row>
    <row r="368">
      <c r="F368" s="2"/>
    </row>
    <row r="369">
      <c r="F369" s="2"/>
    </row>
    <row r="370">
      <c r="F370" s="2"/>
    </row>
    <row r="371">
      <c r="F371" s="2"/>
    </row>
    <row r="372">
      <c r="F372" s="2"/>
    </row>
    <row r="373">
      <c r="F373" s="2"/>
    </row>
    <row r="374">
      <c r="F374" s="2"/>
    </row>
    <row r="375">
      <c r="F375" s="2"/>
    </row>
    <row r="376">
      <c r="F376" s="2"/>
    </row>
    <row r="377">
      <c r="F377" s="2"/>
    </row>
    <row r="378">
      <c r="F378" s="2"/>
    </row>
    <row r="379">
      <c r="F379" s="2"/>
    </row>
    <row r="380">
      <c r="F380" s="2"/>
    </row>
    <row r="381">
      <c r="F381" s="2"/>
    </row>
    <row r="382">
      <c r="F382" s="2"/>
    </row>
    <row r="383">
      <c r="F383" s="2"/>
    </row>
    <row r="384">
      <c r="F384" s="2"/>
    </row>
    <row r="385">
      <c r="F385" s="2"/>
    </row>
    <row r="386">
      <c r="F386" s="2"/>
    </row>
    <row r="387">
      <c r="F387" s="2"/>
    </row>
    <row r="388">
      <c r="F388" s="2"/>
    </row>
    <row r="389">
      <c r="F389" s="2"/>
    </row>
    <row r="390">
      <c r="F390" s="2"/>
    </row>
    <row r="391">
      <c r="F391" s="2"/>
    </row>
    <row r="392">
      <c r="F392" s="2"/>
    </row>
    <row r="393">
      <c r="F393" s="2"/>
    </row>
    <row r="394">
      <c r="F394" s="2"/>
    </row>
    <row r="395">
      <c r="F395" s="2"/>
    </row>
    <row r="396">
      <c r="F396" s="2"/>
    </row>
    <row r="397">
      <c r="F397" s="2"/>
    </row>
    <row r="398">
      <c r="F398" s="2"/>
    </row>
    <row r="399">
      <c r="F399" s="2"/>
    </row>
    <row r="400">
      <c r="F400" s="2"/>
    </row>
    <row r="401">
      <c r="F401" s="2"/>
    </row>
    <row r="402">
      <c r="F402" s="2"/>
    </row>
    <row r="403">
      <c r="F403" s="2"/>
    </row>
    <row r="404">
      <c r="F404" s="2"/>
    </row>
    <row r="405">
      <c r="F405" s="2"/>
    </row>
    <row r="406">
      <c r="F406" s="2"/>
    </row>
    <row r="407">
      <c r="F407" s="2"/>
    </row>
    <row r="408">
      <c r="F408" s="2"/>
    </row>
    <row r="409">
      <c r="F409" s="2"/>
    </row>
    <row r="410">
      <c r="F410" s="2"/>
    </row>
    <row r="411">
      <c r="F411" s="2"/>
    </row>
    <row r="412">
      <c r="F412" s="2"/>
    </row>
    <row r="413">
      <c r="F413" s="2"/>
    </row>
    <row r="414">
      <c r="F414" s="2"/>
    </row>
    <row r="415">
      <c r="F415" s="2"/>
    </row>
    <row r="416">
      <c r="F416" s="2"/>
    </row>
    <row r="417">
      <c r="F417" s="2"/>
    </row>
    <row r="418">
      <c r="F418" s="2"/>
    </row>
    <row r="419">
      <c r="F419" s="2"/>
    </row>
    <row r="420">
      <c r="F420" s="2"/>
    </row>
    <row r="421">
      <c r="F421" s="2"/>
    </row>
    <row r="422">
      <c r="F422" s="2"/>
    </row>
    <row r="423">
      <c r="F423" s="2"/>
    </row>
    <row r="424">
      <c r="F424" s="2"/>
    </row>
    <row r="425">
      <c r="F425" s="2"/>
    </row>
    <row r="426">
      <c r="F426" s="2"/>
    </row>
    <row r="427">
      <c r="F427" s="2"/>
    </row>
    <row r="428">
      <c r="F428" s="2"/>
    </row>
    <row r="429">
      <c r="F429" s="2"/>
    </row>
    <row r="430">
      <c r="F430" s="2"/>
    </row>
    <row r="431">
      <c r="F431" s="2"/>
    </row>
    <row r="432">
      <c r="F432" s="2"/>
    </row>
    <row r="433">
      <c r="F433" s="2"/>
    </row>
    <row r="434">
      <c r="F434" s="2"/>
    </row>
    <row r="435">
      <c r="F435" s="2"/>
    </row>
    <row r="436">
      <c r="F436" s="2"/>
    </row>
    <row r="437">
      <c r="F437" s="2"/>
    </row>
    <row r="438">
      <c r="F438" s="2"/>
    </row>
    <row r="439">
      <c r="F439" s="2"/>
    </row>
    <row r="440">
      <c r="F440" s="2"/>
    </row>
    <row r="441">
      <c r="F441" s="2"/>
    </row>
    <row r="442">
      <c r="F442" s="2"/>
    </row>
    <row r="443">
      <c r="F443" s="2"/>
    </row>
    <row r="444">
      <c r="F444" s="2"/>
    </row>
    <row r="445">
      <c r="F445" s="2"/>
    </row>
    <row r="446">
      <c r="F446" s="2"/>
    </row>
    <row r="447">
      <c r="F447" s="2"/>
    </row>
    <row r="448">
      <c r="F448" s="2"/>
    </row>
    <row r="449">
      <c r="F449" s="2"/>
    </row>
    <row r="450">
      <c r="F450" s="2"/>
    </row>
    <row r="451">
      <c r="F451" s="2"/>
    </row>
    <row r="452">
      <c r="F452" s="2"/>
    </row>
    <row r="453">
      <c r="F453" s="2"/>
    </row>
    <row r="454">
      <c r="F454" s="2"/>
    </row>
    <row r="455">
      <c r="F455" s="2"/>
    </row>
    <row r="456">
      <c r="F456" s="2"/>
    </row>
    <row r="457">
      <c r="F457" s="2"/>
    </row>
    <row r="458">
      <c r="F458" s="2"/>
    </row>
    <row r="459">
      <c r="F459" s="2"/>
    </row>
    <row r="460">
      <c r="F460" s="2"/>
    </row>
    <row r="461">
      <c r="F461" s="2"/>
    </row>
    <row r="462">
      <c r="F462" s="2"/>
    </row>
    <row r="463">
      <c r="F463" s="2"/>
    </row>
    <row r="464">
      <c r="F464" s="2"/>
    </row>
    <row r="465">
      <c r="F465" s="2"/>
    </row>
    <row r="466">
      <c r="F466" s="2"/>
    </row>
    <row r="467">
      <c r="F467" s="2"/>
    </row>
    <row r="468">
      <c r="F468" s="2"/>
    </row>
    <row r="469">
      <c r="F469" s="2"/>
    </row>
    <row r="470">
      <c r="F470" s="2"/>
    </row>
    <row r="471">
      <c r="F471" s="2"/>
    </row>
    <row r="472">
      <c r="F472" s="2"/>
    </row>
    <row r="473">
      <c r="F473" s="2"/>
    </row>
    <row r="474">
      <c r="F474" s="2"/>
    </row>
    <row r="475">
      <c r="F475" s="2"/>
    </row>
    <row r="476">
      <c r="F476" s="2"/>
    </row>
    <row r="477">
      <c r="F477" s="2"/>
    </row>
    <row r="478">
      <c r="F478" s="2"/>
    </row>
    <row r="479">
      <c r="F479" s="2"/>
    </row>
    <row r="480">
      <c r="F480" s="2"/>
    </row>
    <row r="481">
      <c r="F481" s="2"/>
    </row>
    <row r="482">
      <c r="F482" s="2"/>
    </row>
    <row r="483">
      <c r="F483" s="2"/>
    </row>
    <row r="484">
      <c r="F484" s="2"/>
    </row>
    <row r="485">
      <c r="F485" s="2"/>
    </row>
    <row r="486">
      <c r="F486" s="2"/>
    </row>
    <row r="487">
      <c r="F487" s="2"/>
    </row>
    <row r="488">
      <c r="F488" s="2"/>
    </row>
    <row r="489">
      <c r="F489" s="2"/>
    </row>
    <row r="490">
      <c r="F490" s="2"/>
    </row>
    <row r="491">
      <c r="F491" s="2"/>
    </row>
    <row r="492">
      <c r="F492" s="2"/>
    </row>
    <row r="493">
      <c r="F493" s="2"/>
    </row>
    <row r="494">
      <c r="F494" s="2"/>
    </row>
    <row r="495">
      <c r="F495" s="2"/>
    </row>
    <row r="496">
      <c r="F496" s="2"/>
    </row>
    <row r="497">
      <c r="F497" s="2"/>
    </row>
    <row r="498">
      <c r="F498" s="2"/>
    </row>
    <row r="499">
      <c r="F499" s="2"/>
    </row>
    <row r="500">
      <c r="F500" s="2"/>
    </row>
    <row r="501">
      <c r="F501" s="2"/>
    </row>
    <row r="502">
      <c r="F502" s="2"/>
    </row>
    <row r="503">
      <c r="F503" s="2"/>
    </row>
    <row r="504">
      <c r="F504" s="2"/>
    </row>
    <row r="505">
      <c r="F505" s="2"/>
    </row>
    <row r="506">
      <c r="F506" s="2"/>
    </row>
    <row r="507">
      <c r="F507" s="2"/>
    </row>
    <row r="508">
      <c r="F508" s="2"/>
    </row>
    <row r="509">
      <c r="F509" s="2"/>
    </row>
    <row r="510">
      <c r="F510" s="2"/>
    </row>
    <row r="511">
      <c r="F511" s="2"/>
    </row>
    <row r="512">
      <c r="F512" s="2"/>
    </row>
    <row r="513">
      <c r="F513" s="2"/>
    </row>
    <row r="514">
      <c r="F514" s="2"/>
    </row>
    <row r="515">
      <c r="F515" s="2"/>
    </row>
    <row r="516">
      <c r="F516" s="2"/>
    </row>
    <row r="517">
      <c r="F517" s="2"/>
    </row>
    <row r="518">
      <c r="F518" s="2"/>
    </row>
    <row r="519">
      <c r="F519" s="2"/>
    </row>
    <row r="520">
      <c r="F520" s="2"/>
    </row>
    <row r="521">
      <c r="F521" s="2"/>
    </row>
    <row r="522">
      <c r="F522" s="2"/>
    </row>
    <row r="523">
      <c r="F523" s="2"/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  <row r="867">
      <c r="F867" s="2"/>
    </row>
    <row r="868">
      <c r="F868" s="2"/>
    </row>
    <row r="869">
      <c r="F869" s="2"/>
    </row>
    <row r="870">
      <c r="F870" s="2"/>
    </row>
    <row r="871">
      <c r="F871" s="2"/>
    </row>
    <row r="872">
      <c r="F872" s="2"/>
    </row>
    <row r="873">
      <c r="F873" s="2"/>
    </row>
    <row r="874">
      <c r="F874" s="2"/>
    </row>
    <row r="875">
      <c r="F875" s="2"/>
    </row>
    <row r="876">
      <c r="F876" s="2"/>
    </row>
    <row r="877">
      <c r="F877" s="2"/>
    </row>
    <row r="878">
      <c r="F878" s="2"/>
    </row>
    <row r="879">
      <c r="F879" s="2"/>
    </row>
    <row r="880">
      <c r="F880" s="2"/>
    </row>
    <row r="881">
      <c r="F881" s="2"/>
    </row>
    <row r="882">
      <c r="F882" s="2"/>
    </row>
    <row r="883">
      <c r="F883" s="2"/>
    </row>
    <row r="884">
      <c r="F884" s="2"/>
    </row>
    <row r="885">
      <c r="F885" s="2"/>
    </row>
    <row r="886">
      <c r="F886" s="2"/>
    </row>
    <row r="887">
      <c r="F887" s="2"/>
    </row>
    <row r="888">
      <c r="F888" s="2"/>
    </row>
    <row r="889">
      <c r="F889" s="2"/>
    </row>
    <row r="890">
      <c r="F890" s="2"/>
    </row>
    <row r="891">
      <c r="F891" s="2"/>
    </row>
    <row r="892">
      <c r="F892" s="2"/>
    </row>
    <row r="893">
      <c r="F893" s="2"/>
    </row>
    <row r="894">
      <c r="F894" s="2"/>
    </row>
    <row r="895">
      <c r="F895" s="2"/>
    </row>
    <row r="896">
      <c r="F896" s="2"/>
    </row>
    <row r="897">
      <c r="F897" s="2"/>
    </row>
    <row r="898">
      <c r="F898" s="2"/>
    </row>
    <row r="899">
      <c r="F899" s="2"/>
    </row>
    <row r="900">
      <c r="F900" s="2"/>
    </row>
    <row r="901">
      <c r="F901" s="2"/>
    </row>
    <row r="902">
      <c r="F902" s="2"/>
    </row>
    <row r="903">
      <c r="F903" s="2"/>
    </row>
    <row r="904">
      <c r="F904" s="2"/>
    </row>
    <row r="905">
      <c r="F905" s="2"/>
    </row>
    <row r="906">
      <c r="F906" s="2"/>
    </row>
    <row r="907">
      <c r="F907" s="2"/>
    </row>
    <row r="908">
      <c r="F908" s="2"/>
    </row>
    <row r="909">
      <c r="F909" s="2"/>
    </row>
    <row r="910">
      <c r="F910" s="2"/>
    </row>
    <row r="911">
      <c r="F911" s="2"/>
    </row>
    <row r="912">
      <c r="F912" s="2"/>
    </row>
    <row r="913">
      <c r="F913" s="2"/>
    </row>
    <row r="914">
      <c r="F914" s="2"/>
    </row>
    <row r="915">
      <c r="F915" s="2"/>
    </row>
    <row r="916">
      <c r="F916" s="2"/>
    </row>
    <row r="917">
      <c r="F917" s="2"/>
    </row>
    <row r="918">
      <c r="F918" s="2"/>
    </row>
    <row r="919">
      <c r="F919" s="2"/>
    </row>
    <row r="920">
      <c r="F920" s="2"/>
    </row>
    <row r="921">
      <c r="F921" s="2"/>
    </row>
    <row r="922">
      <c r="F922" s="2"/>
    </row>
    <row r="923">
      <c r="F923" s="2"/>
    </row>
    <row r="924">
      <c r="F924" s="2"/>
    </row>
    <row r="925">
      <c r="F925" s="2"/>
    </row>
    <row r="926">
      <c r="F926" s="2"/>
    </row>
    <row r="927">
      <c r="F927" s="2"/>
    </row>
    <row r="928">
      <c r="F928" s="2"/>
    </row>
    <row r="929">
      <c r="F929" s="2"/>
    </row>
    <row r="930">
      <c r="F930" s="2"/>
    </row>
    <row r="931">
      <c r="F931" s="2"/>
    </row>
    <row r="932">
      <c r="F932" s="2"/>
    </row>
    <row r="933">
      <c r="F933" s="2"/>
    </row>
    <row r="934">
      <c r="F934" s="2"/>
    </row>
    <row r="935">
      <c r="F935" s="2"/>
    </row>
    <row r="936">
      <c r="F936" s="2"/>
    </row>
    <row r="937">
      <c r="F937" s="2"/>
    </row>
    <row r="938">
      <c r="F938" s="2"/>
    </row>
    <row r="939">
      <c r="F939" s="2"/>
    </row>
    <row r="940">
      <c r="F940" s="2"/>
    </row>
    <row r="941">
      <c r="F941" s="2"/>
    </row>
    <row r="942">
      <c r="F942" s="2"/>
    </row>
    <row r="943">
      <c r="F943" s="2"/>
    </row>
    <row r="944">
      <c r="F944" s="2"/>
    </row>
    <row r="945">
      <c r="F945" s="2"/>
    </row>
    <row r="946">
      <c r="F946" s="2"/>
    </row>
    <row r="947">
      <c r="F947" s="2"/>
    </row>
    <row r="948">
      <c r="F948" s="2"/>
    </row>
    <row r="949">
      <c r="F949" s="2"/>
    </row>
    <row r="950">
      <c r="F950" s="2"/>
    </row>
    <row r="951">
      <c r="F951" s="2"/>
    </row>
    <row r="952">
      <c r="F952" s="2"/>
    </row>
    <row r="953">
      <c r="F953" s="2"/>
    </row>
    <row r="954">
      <c r="F954" s="2"/>
    </row>
    <row r="955">
      <c r="F955" s="2"/>
    </row>
    <row r="956">
      <c r="F956" s="2"/>
    </row>
    <row r="957">
      <c r="F957" s="2"/>
    </row>
    <row r="958">
      <c r="F958" s="2"/>
    </row>
    <row r="959">
      <c r="F959" s="2"/>
    </row>
    <row r="960">
      <c r="F960" s="2"/>
    </row>
    <row r="961">
      <c r="F961" s="2"/>
    </row>
    <row r="962">
      <c r="F962" s="2"/>
    </row>
    <row r="963">
      <c r="F963" s="2"/>
    </row>
    <row r="964">
      <c r="F964" s="2"/>
    </row>
    <row r="965">
      <c r="F965" s="2"/>
    </row>
    <row r="966">
      <c r="F966" s="2"/>
    </row>
    <row r="967">
      <c r="F967" s="2"/>
    </row>
    <row r="968">
      <c r="F968" s="2"/>
    </row>
    <row r="969">
      <c r="F969" s="2"/>
    </row>
    <row r="970">
      <c r="F970" s="2"/>
    </row>
    <row r="971">
      <c r="F971" s="2"/>
    </row>
    <row r="972">
      <c r="F972" s="2"/>
    </row>
    <row r="973">
      <c r="F973" s="2"/>
    </row>
    <row r="974">
      <c r="F974" s="2"/>
    </row>
    <row r="975">
      <c r="F975" s="2"/>
    </row>
    <row r="976">
      <c r="F976" s="2"/>
    </row>
    <row r="977">
      <c r="F977" s="2"/>
    </row>
    <row r="978">
      <c r="F978" s="2"/>
    </row>
    <row r="979">
      <c r="F979" s="2"/>
    </row>
    <row r="980">
      <c r="F980" s="2"/>
    </row>
    <row r="981">
      <c r="F981" s="2"/>
    </row>
    <row r="982">
      <c r="F982" s="2"/>
    </row>
    <row r="983">
      <c r="F983" s="2"/>
    </row>
    <row r="984">
      <c r="F984" s="2"/>
    </row>
    <row r="985">
      <c r="F985" s="2"/>
    </row>
    <row r="986">
      <c r="F986" s="2"/>
    </row>
    <row r="987">
      <c r="F987" s="2"/>
    </row>
    <row r="988">
      <c r="F988" s="2"/>
    </row>
    <row r="989">
      <c r="F989" s="2"/>
    </row>
    <row r="990">
      <c r="F990" s="2"/>
    </row>
    <row r="991">
      <c r="F991" s="2"/>
    </row>
    <row r="992">
      <c r="F992" s="2"/>
    </row>
    <row r="993">
      <c r="F993" s="2"/>
    </row>
    <row r="994">
      <c r="F994" s="2"/>
    </row>
    <row r="995">
      <c r="F995" s="2"/>
    </row>
    <row r="996">
      <c r="F996" s="2"/>
    </row>
    <row r="997">
      <c r="F997" s="2"/>
    </row>
    <row r="998">
      <c r="F998" s="2"/>
    </row>
    <row r="999">
      <c r="F999" s="2"/>
    </row>
    <row r="1000">
      <c r="F1000" s="2"/>
    </row>
  </sheetData>
  <autoFilter ref="$A$4:$F$41"/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  <hyperlink r:id="rId16" ref="F20"/>
    <hyperlink r:id="rId17" ref="F21"/>
    <hyperlink r:id="rId18" ref="F22"/>
    <hyperlink r:id="rId19" ref="F23"/>
    <hyperlink r:id="rId20" ref="F24"/>
    <hyperlink r:id="rId21" ref="F25"/>
    <hyperlink r:id="rId22" ref="F26"/>
    <hyperlink r:id="rId23" ref="F27"/>
    <hyperlink r:id="rId24" ref="F28"/>
    <hyperlink r:id="rId25" ref="F29"/>
    <hyperlink r:id="rId26" ref="F30"/>
    <hyperlink r:id="rId27" ref="F31"/>
    <hyperlink r:id="rId28" ref="F32"/>
    <hyperlink r:id="rId29" ref="F33"/>
    <hyperlink r:id="rId30" ref="F34"/>
  </hyperlinks>
  <drawing r:id="rId31"/>
</worksheet>
</file>